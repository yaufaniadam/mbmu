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120"/>
  </bookViews>
  <sheets>
    <sheet name="Rekap Dapur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<sst xmlns="http://schemas.openxmlformats.org/spreadsheetml/2006/main" count="1759" uniqueCount="872">
  <si>
    <t>No</t>
  </si>
  <si>
    <t>kode_sppg</t>
  </si>
  <si>
    <t>Nama Dapur</t>
  </si>
  <si>
    <t>Pengusul</t>
  </si>
  <si>
    <t>Nama Pengusul</t>
  </si>
  <si>
    <t>Nama PJ</t>
  </si>
  <si>
    <t>WA</t>
  </si>
  <si>
    <t>Provinsi</t>
  </si>
  <si>
    <t>Kabupaten/Kota</t>
  </si>
  <si>
    <t>Kecamatan</t>
  </si>
  <si>
    <t>Status di Web</t>
  </si>
  <si>
    <t>A18BLIBB</t>
  </si>
  <si>
    <t xml:space="preserve">PDM Kota Serang </t>
  </si>
  <si>
    <t>PDM</t>
  </si>
  <si>
    <t>Dodo Mulyadi</t>
  </si>
  <si>
    <t>081218705997</t>
  </si>
  <si>
    <t>Banten</t>
  </si>
  <si>
    <t>Kota Serang</t>
  </si>
  <si>
    <t>Serang</t>
  </si>
  <si>
    <t>Operasional / Siap Berjalan</t>
  </si>
  <si>
    <t>PDM Kota Serang</t>
  </si>
  <si>
    <t>Nursalim</t>
  </si>
  <si>
    <t>082124431135</t>
  </si>
  <si>
    <t>Kasemen</t>
  </si>
  <si>
    <t>PCA Kasihan</t>
  </si>
  <si>
    <t>PCA</t>
  </si>
  <si>
    <t>UMU HANI EDI NAWANGSIH</t>
  </si>
  <si>
    <t>087838417671</t>
  </si>
  <si>
    <t>D.I. Yogyakarta</t>
  </si>
  <si>
    <t>Bantul</t>
  </si>
  <si>
    <t>Kasihan</t>
  </si>
  <si>
    <t>Madrasah Muallimin Muhammadiyah Yogyakarta</t>
  </si>
  <si>
    <t>Pesantren</t>
  </si>
  <si>
    <t>Erik Tauvani Somae</t>
  </si>
  <si>
    <t>082136281690</t>
  </si>
  <si>
    <t>Sedayu</t>
  </si>
  <si>
    <t>MPM PP Muhammadiyah</t>
  </si>
  <si>
    <t>Majelis/Lembaga PP</t>
  </si>
  <si>
    <t>Adib Nurhadi</t>
  </si>
  <si>
    <t>081335332681</t>
  </si>
  <si>
    <t>Sleman</t>
  </si>
  <si>
    <t>Minggir</t>
  </si>
  <si>
    <t>PPM MBS Yogyakarta</t>
  </si>
  <si>
    <t>Mardiyah Hayati</t>
  </si>
  <si>
    <t>081297503066</t>
  </si>
  <si>
    <t>Prambanan</t>
  </si>
  <si>
    <t>PRM Argomulyo Barat</t>
  </si>
  <si>
    <t>Sekolah</t>
  </si>
  <si>
    <t>Agung Andi Andramawan</t>
  </si>
  <si>
    <t>081218964807</t>
  </si>
  <si>
    <t>Cangkringan</t>
  </si>
  <si>
    <t>PCM Pakem</t>
  </si>
  <si>
    <t>Raden Agung Nugraha</t>
  </si>
  <si>
    <t>085743984745</t>
  </si>
  <si>
    <t>Pakem</t>
  </si>
  <si>
    <t>UNISA Yogyakarta</t>
  </si>
  <si>
    <t>PTMA</t>
  </si>
  <si>
    <t>Muhammad Hafizh Hariawan</t>
  </si>
  <si>
    <t>082137549804</t>
  </si>
  <si>
    <t>Yogyakarta</t>
  </si>
  <si>
    <t>Ngampilan</t>
  </si>
  <si>
    <t>PDM Ciamis</t>
  </si>
  <si>
    <t>Fariz Fadhillah</t>
  </si>
  <si>
    <t>081317176402</t>
  </si>
  <si>
    <t>Jawa Barat</t>
  </si>
  <si>
    <t>Ciamis</t>
  </si>
  <si>
    <t>Kawali</t>
  </si>
  <si>
    <t>PDM Cianjur</t>
  </si>
  <si>
    <t>Dadan Slamet</t>
  </si>
  <si>
    <t>087831510590</t>
  </si>
  <si>
    <t>Cianjur</t>
  </si>
  <si>
    <t>Cipanas</t>
  </si>
  <si>
    <t>Pondok Pesantren Darul Arqam Muhammadiyah Garut</t>
  </si>
  <si>
    <t>GIRI FAJAR WIBAWA</t>
  </si>
  <si>
    <t>081224459447</t>
  </si>
  <si>
    <t>Garut</t>
  </si>
  <si>
    <t>Cilawu</t>
  </si>
  <si>
    <t>SD Muhammadiyah Ciwahang</t>
  </si>
  <si>
    <t>Ii Safei</t>
  </si>
  <si>
    <t>085321158225</t>
  </si>
  <si>
    <t>Malangbong</t>
  </si>
  <si>
    <t>SMP Muhammadiyah Garut</t>
  </si>
  <si>
    <t>Herna Herlina</t>
  </si>
  <si>
    <t>082128050833</t>
  </si>
  <si>
    <t>Garut Kota</t>
  </si>
  <si>
    <t>MTs. Baitur Rohmah Muhammadiyah</t>
  </si>
  <si>
    <t>Faiz Faza Firdaus,</t>
  </si>
  <si>
    <t>088806370523</t>
  </si>
  <si>
    <t>Banyuresmi</t>
  </si>
  <si>
    <t>SMP Al Madinah Muhammadiyah Cibatu</t>
  </si>
  <si>
    <t>Muhammad Syafrudin</t>
  </si>
  <si>
    <t>085222535343</t>
  </si>
  <si>
    <t>Cibatu</t>
  </si>
  <si>
    <t>SMK Muhammadiyah 1 Sumedang</t>
  </si>
  <si>
    <t>Wawan Sugiarto</t>
  </si>
  <si>
    <t>082219028550</t>
  </si>
  <si>
    <t>Kab. Sumedang</t>
  </si>
  <si>
    <t>Sumedang Utara</t>
  </si>
  <si>
    <t>MTs. Muhammadiyah Babakanloa</t>
  </si>
  <si>
    <t>Dodi Pratawijaya</t>
  </si>
  <si>
    <t>085294550086</t>
  </si>
  <si>
    <t>SMP Muhammadiyah 8 Bandung</t>
  </si>
  <si>
    <t>Taofik Yusmansyah</t>
  </si>
  <si>
    <t>081321314447</t>
  </si>
  <si>
    <t>Kota Bandung</t>
  </si>
  <si>
    <t>Antapani</t>
  </si>
  <si>
    <t>SMP Muhammadiyah 6 Bandung</t>
  </si>
  <si>
    <t>Lisda Nurul</t>
  </si>
  <si>
    <t>081220748581</t>
  </si>
  <si>
    <t>Cidadap</t>
  </si>
  <si>
    <t>SMK Muhammadiyah 1 Bandung</t>
  </si>
  <si>
    <t>Rita Hartati</t>
  </si>
  <si>
    <t>085722313796</t>
  </si>
  <si>
    <t>Batununggal</t>
  </si>
  <si>
    <t>PDM Banjarnegara</t>
  </si>
  <si>
    <t>Khamdani</t>
  </si>
  <si>
    <t>082226333340</t>
  </si>
  <si>
    <t>Jawa Tengah</t>
  </si>
  <si>
    <t>Banjarnegara</t>
  </si>
  <si>
    <t>Pandanarum</t>
  </si>
  <si>
    <t>Aris Wahyudin</t>
  </si>
  <si>
    <t>085328607571</t>
  </si>
  <si>
    <t>Susukan</t>
  </si>
  <si>
    <t>Muhammad Nurhidayatulloh</t>
  </si>
  <si>
    <t>081328134244</t>
  </si>
  <si>
    <t>Rakit</t>
  </si>
  <si>
    <t>SD Muhammadiyah Ketanggungan</t>
  </si>
  <si>
    <t>NANEH DHAHNEH, M.Pd</t>
  </si>
  <si>
    <t>08122661339</t>
  </si>
  <si>
    <t>Brebes</t>
  </si>
  <si>
    <t>Ketanggungan</t>
  </si>
  <si>
    <t>PDM Grobogan</t>
  </si>
  <si>
    <t>SAMSUL HADI</t>
  </si>
  <si>
    <t>081326679581</t>
  </si>
  <si>
    <t>Grobogan</t>
  </si>
  <si>
    <t>Penawangan</t>
  </si>
  <si>
    <t>Andik Waluyo</t>
  </si>
  <si>
    <t>088216596134</t>
  </si>
  <si>
    <t>Purwodadi</t>
  </si>
  <si>
    <t>PDM Jepara</t>
  </si>
  <si>
    <t>Hanbali, S.Pd</t>
  </si>
  <si>
    <t>081325753539</t>
  </si>
  <si>
    <t>Jepara</t>
  </si>
  <si>
    <t>Mayong</t>
  </si>
  <si>
    <t>PRM Kuanyar</t>
  </si>
  <si>
    <t>PRM</t>
  </si>
  <si>
    <t>MIFTACHUL KHOIR</t>
  </si>
  <si>
    <t>081225945465</t>
  </si>
  <si>
    <t>PCM DUKUN</t>
  </si>
  <si>
    <t>PCM</t>
  </si>
  <si>
    <t>ROKHMAD, S.Pd.</t>
  </si>
  <si>
    <t>0895375403322</t>
  </si>
  <si>
    <t>Kab Magelang</t>
  </si>
  <si>
    <t>Dukun</t>
  </si>
  <si>
    <t>PDM Semarang</t>
  </si>
  <si>
    <t>Figih Sufiawan</t>
  </si>
  <si>
    <t>081522543055</t>
  </si>
  <si>
    <t>Kab Semarang</t>
  </si>
  <si>
    <t>Pringapus</t>
  </si>
  <si>
    <t>H. Purwiyanto</t>
  </si>
  <si>
    <t>08157629472</t>
  </si>
  <si>
    <t>Kabupaten Semarang</t>
  </si>
  <si>
    <t>Suruh</t>
  </si>
  <si>
    <t>PDM Karanganyar</t>
  </si>
  <si>
    <t>Ismail Soleh, S.Pd., M.Pd.</t>
  </si>
  <si>
    <t>085876097554</t>
  </si>
  <si>
    <t>Karanganyar</t>
  </si>
  <si>
    <t>Marjiyanti, S.Ag., M.Pd.I.</t>
  </si>
  <si>
    <t>087736232490</t>
  </si>
  <si>
    <t>Universitas Muhammadiyah Surakarta</t>
  </si>
  <si>
    <t>Bambang Sumardjoko (karangasem)</t>
  </si>
  <si>
    <t>08122685062</t>
  </si>
  <si>
    <t>Kota Surakarta</t>
  </si>
  <si>
    <t>Laweyan</t>
  </si>
  <si>
    <t>PDM Kudus</t>
  </si>
  <si>
    <t>Ahmad Nur Syafiq, SS.,M.Pd</t>
  </si>
  <si>
    <t>085640828416</t>
  </si>
  <si>
    <t>Kudus</t>
  </si>
  <si>
    <t>Gebog</t>
  </si>
  <si>
    <t>Herawan Eva Krisdianto</t>
  </si>
  <si>
    <t>081575337890</t>
  </si>
  <si>
    <t>Edy Soesanto</t>
  </si>
  <si>
    <t>08122806764</t>
  </si>
  <si>
    <t>Kudus Kota</t>
  </si>
  <si>
    <t>SMK Muhammadiyah 2 Mertoyudan</t>
  </si>
  <si>
    <t>Hendri Kusno</t>
  </si>
  <si>
    <t>081548403540</t>
  </si>
  <si>
    <t>Magelang</t>
  </si>
  <si>
    <t>Mertoyudan</t>
  </si>
  <si>
    <t>Bonar Budiono</t>
  </si>
  <si>
    <t>081327312111</t>
  </si>
  <si>
    <t>Pati</t>
  </si>
  <si>
    <t>Tambakromo</t>
  </si>
  <si>
    <t>PCM Moga</t>
  </si>
  <si>
    <t>Jumirin</t>
  </si>
  <si>
    <t>082327305355</t>
  </si>
  <si>
    <t>Pemalang</t>
  </si>
  <si>
    <t>Moga</t>
  </si>
  <si>
    <t>PDM Pemalang</t>
  </si>
  <si>
    <t>Rahmad Hidayat</t>
  </si>
  <si>
    <t>081390222950</t>
  </si>
  <si>
    <t>Ahmad Ihsan Asyari</t>
  </si>
  <si>
    <t>08122885915</t>
  </si>
  <si>
    <t>Rembang</t>
  </si>
  <si>
    <t>Sale</t>
  </si>
  <si>
    <t>Diyah Nurkhayati</t>
  </si>
  <si>
    <t>085799661416</t>
  </si>
  <si>
    <t>Semarang</t>
  </si>
  <si>
    <t>Bawen</t>
  </si>
  <si>
    <t>BRYZAN PRATAMA RAKA JUANG</t>
  </si>
  <si>
    <t>082227129810</t>
  </si>
  <si>
    <t>Wahyudi Jaya</t>
  </si>
  <si>
    <t>085877760455</t>
  </si>
  <si>
    <t>PDA Sragen</t>
  </si>
  <si>
    <t>PDA</t>
  </si>
  <si>
    <t>DYAH NUR LAILY FATHONAH</t>
  </si>
  <si>
    <t>082239175757</t>
  </si>
  <si>
    <t>Sragen</t>
  </si>
  <si>
    <t>Karangmalang</t>
  </si>
  <si>
    <t>PDM Sragen</t>
  </si>
  <si>
    <t>Mohammad Tegar Bela Ham</t>
  </si>
  <si>
    <t>085227995477</t>
  </si>
  <si>
    <t>Tangkil</t>
  </si>
  <si>
    <t>Pondok Pesantren Darul Ihsan Muhammadiyah Sragen</t>
  </si>
  <si>
    <t>Ali Rosyidhi, S.Pd</t>
  </si>
  <si>
    <t>082143703780</t>
  </si>
  <si>
    <t>SMP Birrul Walidain Muhammadiyah Sragen</t>
  </si>
  <si>
    <t>Rosit Mustofa</t>
  </si>
  <si>
    <t>081229563471</t>
  </si>
  <si>
    <t>PCM Baki</t>
  </si>
  <si>
    <t>Drs. Sahono, M.Pd</t>
  </si>
  <si>
    <t>081329343364</t>
  </si>
  <si>
    <t>Sukoharjo</t>
  </si>
  <si>
    <t>Baki</t>
  </si>
  <si>
    <t>PDA Sukoharjo</t>
  </si>
  <si>
    <t>Harmini, S. Pd</t>
  </si>
  <si>
    <t>081329087151</t>
  </si>
  <si>
    <t>Dr. Indiah Dewi Murni, M.Pd</t>
  </si>
  <si>
    <t>0817259607</t>
  </si>
  <si>
    <t>PDM Sukoharjo</t>
  </si>
  <si>
    <t>dr. Asyari Setya Nur Muchlis</t>
  </si>
  <si>
    <t>087839826606</t>
  </si>
  <si>
    <t>Nguter</t>
  </si>
  <si>
    <t>Haidar Mubarak</t>
  </si>
  <si>
    <t>085725317825</t>
  </si>
  <si>
    <t>Polokarto</t>
  </si>
  <si>
    <t>Bambang Sumardjoko</t>
  </si>
  <si>
    <t>Kartasura</t>
  </si>
  <si>
    <t>Pondok Pesantren Al-Mu'min Muhammadiyah Tembarak Temanggung</t>
  </si>
  <si>
    <t>Romadlon, S.Ag., S.Pd.</t>
  </si>
  <si>
    <t>08584310715</t>
  </si>
  <si>
    <t>Temanggung</t>
  </si>
  <si>
    <t>Tembarak</t>
  </si>
  <si>
    <t>PDM Temanggung</t>
  </si>
  <si>
    <t>Achirudin Timora</t>
  </si>
  <si>
    <t>081329808358</t>
  </si>
  <si>
    <t>Bansari</t>
  </si>
  <si>
    <t>PDM Wonogiri</t>
  </si>
  <si>
    <t xml:space="preserve">PDM </t>
  </si>
  <si>
    <t>Drs. H. Suratno, M.Pd</t>
  </si>
  <si>
    <t>085869995804</t>
  </si>
  <si>
    <t>Wonogiri</t>
  </si>
  <si>
    <t>Gino</t>
  </si>
  <si>
    <t>081228238620</t>
  </si>
  <si>
    <t>Selogiri</t>
  </si>
  <si>
    <t>Achmad Furqon</t>
  </si>
  <si>
    <t>082341380588</t>
  </si>
  <si>
    <t>bangsri</t>
  </si>
  <si>
    <t>PDA SRAGEN</t>
  </si>
  <si>
    <t>SUGIYANTO</t>
  </si>
  <si>
    <t>082228453164</t>
  </si>
  <si>
    <t>Gesi</t>
  </si>
  <si>
    <t>PCM Maesan</t>
  </si>
  <si>
    <t>Alfian Muftianto</t>
  </si>
  <si>
    <t>085230461759</t>
  </si>
  <si>
    <t>Jawa Timur</t>
  </si>
  <si>
    <t>Bondowoso</t>
  </si>
  <si>
    <t>Maesan</t>
  </si>
  <si>
    <t>PDPM Kab Malang</t>
  </si>
  <si>
    <t>ORTOM</t>
  </si>
  <si>
    <t>Ana Ahsanul Huda</t>
  </si>
  <si>
    <t>081359147244</t>
  </si>
  <si>
    <t>Kab Malang</t>
  </si>
  <si>
    <t>Bululawang</t>
  </si>
  <si>
    <t>Pondok Pesantren Entrepreneur Muhammadiyah Gondanglegi</t>
  </si>
  <si>
    <t>Pahri</t>
  </si>
  <si>
    <t>0818383765</t>
  </si>
  <si>
    <t>Kabupaten Malang</t>
  </si>
  <si>
    <t>Gondanglegi</t>
  </si>
  <si>
    <t>PDM Banyuwangi</t>
  </si>
  <si>
    <t>Ajib Zainurrokhim</t>
  </si>
  <si>
    <t>081232286318</t>
  </si>
  <si>
    <t>Banyuwangi</t>
  </si>
  <si>
    <t>Cluring</t>
  </si>
  <si>
    <t>SMA Muhammadiyah 1 Tarakan</t>
  </si>
  <si>
    <t>Slamet Kurniawan</t>
  </si>
  <si>
    <t>0811541568</t>
  </si>
  <si>
    <t>Kalimantan Utara</t>
  </si>
  <si>
    <t>Kota Tarakan</t>
  </si>
  <si>
    <t>Tarakan Tengah</t>
  </si>
  <si>
    <t>PDM Malinau</t>
  </si>
  <si>
    <t>KURI ALKAN</t>
  </si>
  <si>
    <t>082148036246</t>
  </si>
  <si>
    <t>Malinau</t>
  </si>
  <si>
    <t>Malinau Kota</t>
  </si>
  <si>
    <t>PDM Nunukan</t>
  </si>
  <si>
    <t>Nurdin Sade</t>
  </si>
  <si>
    <t>08125407925</t>
  </si>
  <si>
    <t>Nunukan</t>
  </si>
  <si>
    <t>Nunukan Timur</t>
  </si>
  <si>
    <t>PWM Kalimantan Utara</t>
  </si>
  <si>
    <t>PWA</t>
  </si>
  <si>
    <t>DIAN SANDI UTAMA</t>
  </si>
  <si>
    <t>08115440230</t>
  </si>
  <si>
    <t>Tarakan</t>
  </si>
  <si>
    <t>PD PM Lampung Utara</t>
  </si>
  <si>
    <t>Dr Suwardi SH MH</t>
  </si>
  <si>
    <t>08127915332</t>
  </si>
  <si>
    <t>Lampung</t>
  </si>
  <si>
    <t>Lampung Utara</t>
  </si>
  <si>
    <t>Kotabumi</t>
  </si>
  <si>
    <t>MEBP PWM Lampung</t>
  </si>
  <si>
    <t>PWM</t>
  </si>
  <si>
    <t>Danang tri hartanto</t>
  </si>
  <si>
    <t>08158845568</t>
  </si>
  <si>
    <t>Pringsewu</t>
  </si>
  <si>
    <t>Pagelaran</t>
  </si>
  <si>
    <t>PCM Talangpadang</t>
  </si>
  <si>
    <t>Riski Saputra</t>
  </si>
  <si>
    <t>085366606400</t>
  </si>
  <si>
    <t>Tanggamus</t>
  </si>
  <si>
    <t>Talang Padang</t>
  </si>
  <si>
    <t>PDM Tanah Datar</t>
  </si>
  <si>
    <t>Deri Rizal</t>
  </si>
  <si>
    <t>082283623032</t>
  </si>
  <si>
    <t>Sumatera Barat</t>
  </si>
  <si>
    <t>Tanah Datar</t>
  </si>
  <si>
    <t>Lima Kaum</t>
  </si>
  <si>
    <t>MTsS Muhammadiyah Bayongbong</t>
  </si>
  <si>
    <t>Mohamad Agnan Rais</t>
  </si>
  <si>
    <t>082128996599</t>
  </si>
  <si>
    <t>Bayongbong</t>
  </si>
  <si>
    <t>ANDI NUGROHO, S.Pd</t>
  </si>
  <si>
    <t>083865680991</t>
  </si>
  <si>
    <t>SMK Muhammadiyah Abung Semuli</t>
  </si>
  <si>
    <t>Dedi Ariyanto</t>
  </si>
  <si>
    <t>082186842005</t>
  </si>
  <si>
    <t>Abung Semuli</t>
  </si>
  <si>
    <t>PCM Sumanda Pugung</t>
  </si>
  <si>
    <t>Heri Khoerudin</t>
  </si>
  <si>
    <t>082280284468</t>
  </si>
  <si>
    <t>Pugung</t>
  </si>
  <si>
    <t>PDM Kota Langsa</t>
  </si>
  <si>
    <t>Raja Bangsawan, MA</t>
  </si>
  <si>
    <t>082276142360</t>
  </si>
  <si>
    <t>Aceh</t>
  </si>
  <si>
    <t>Kota Langsa</t>
  </si>
  <si>
    <t>Langsa Baro</t>
  </si>
  <si>
    <t>Proses Persiapan</t>
  </si>
  <si>
    <t>MAJELIS EKONOMI PWM BANTEN_1</t>
  </si>
  <si>
    <t>Hj. Elis Susilawati</t>
  </si>
  <si>
    <t>0811123283</t>
  </si>
  <si>
    <t>Sumur Pecung</t>
  </si>
  <si>
    <t>Majelis Ekonomi PWM Banten_2</t>
  </si>
  <si>
    <t>Idrus</t>
  </si>
  <si>
    <t>‪'089635865097‬</t>
  </si>
  <si>
    <t>Gunungsari</t>
  </si>
  <si>
    <t>Madrasah Muallimat Muhammadiyah</t>
  </si>
  <si>
    <t>Atang Solihin</t>
  </si>
  <si>
    <t>081227264310</t>
  </si>
  <si>
    <t>Kota Yogyakarta</t>
  </si>
  <si>
    <t>SMK Muhammadiyah 2 Tempel</t>
  </si>
  <si>
    <t>Untung Tri winarso</t>
  </si>
  <si>
    <t>081328634348</t>
  </si>
  <si>
    <t>Tempel</t>
  </si>
  <si>
    <t>Korwil PWM DIY</t>
  </si>
  <si>
    <t>Edward Bot</t>
  </si>
  <si>
    <t>085228863036</t>
  </si>
  <si>
    <t>Tegalrejo</t>
  </si>
  <si>
    <t>Panti Asuhan Al-Mukhlisin Hungayonaa</t>
  </si>
  <si>
    <t>Panti Asuhan</t>
  </si>
  <si>
    <t>HERMAN I. HASAN</t>
  </si>
  <si>
    <t>085823381525</t>
  </si>
  <si>
    <t>Gorontalo</t>
  </si>
  <si>
    <t>Boalemo</t>
  </si>
  <si>
    <t>Tilamuta</t>
  </si>
  <si>
    <t>PDM Kab Gorontalo</t>
  </si>
  <si>
    <t>H. Ibrahim Nteya, S.Pd</t>
  </si>
  <si>
    <t>085256334638</t>
  </si>
  <si>
    <t>Kab Gorontalo</t>
  </si>
  <si>
    <t>Limboto</t>
  </si>
  <si>
    <t>PDM Bekasi</t>
  </si>
  <si>
    <t>SALIM MAULA ABI</t>
  </si>
  <si>
    <t>088809600795</t>
  </si>
  <si>
    <t>Bekasi</t>
  </si>
  <si>
    <t>SMKM Kuningan</t>
  </si>
  <si>
    <t>YUDA KLANA GENI</t>
  </si>
  <si>
    <t>08977011803</t>
  </si>
  <si>
    <t>Kuningan</t>
  </si>
  <si>
    <t>Jalaksana</t>
  </si>
  <si>
    <t>PDM Kota Bekasi</t>
  </si>
  <si>
    <t>Ilham Subagia</t>
  </si>
  <si>
    <t>089522102132</t>
  </si>
  <si>
    <t>Kota Bekasi</t>
  </si>
  <si>
    <t>Bekasi Timur</t>
  </si>
  <si>
    <t>Qinthara Rafiandra</t>
  </si>
  <si>
    <t>082171727270</t>
  </si>
  <si>
    <t>Jawa tengah</t>
  </si>
  <si>
    <t>Purworejo</t>
  </si>
  <si>
    <t>Bagelen</t>
  </si>
  <si>
    <t>SMKS MUHAMMADIYAH BAWANG</t>
  </si>
  <si>
    <t>Kahfi Saim</t>
  </si>
  <si>
    <t>082154046059</t>
  </si>
  <si>
    <t>Batang</t>
  </si>
  <si>
    <t>Bawang</t>
  </si>
  <si>
    <t>PDM Boyolali</t>
  </si>
  <si>
    <t>Kresna Setyawan</t>
  </si>
  <si>
    <t>081225840056</t>
  </si>
  <si>
    <t>Boyolali</t>
  </si>
  <si>
    <t>Simo</t>
  </si>
  <si>
    <t>MPM PWM Jateng</t>
  </si>
  <si>
    <t>Fadlan Imam</t>
  </si>
  <si>
    <t>081327002042</t>
  </si>
  <si>
    <t>Demak</t>
  </si>
  <si>
    <t>Gajah</t>
  </si>
  <si>
    <t>Muhammad Tresno</t>
  </si>
  <si>
    <t>082326261891</t>
  </si>
  <si>
    <t>Welahan</t>
  </si>
  <si>
    <t>Mastur suhartoyo</t>
  </si>
  <si>
    <t>081325712584</t>
  </si>
  <si>
    <t>Pakis Aji</t>
  </si>
  <si>
    <t>Verifikasi dan Validasi</t>
  </si>
  <si>
    <t>Usulan Pak Fuad Kebumen</t>
  </si>
  <si>
    <t>PUDJI ASIH KASTUTI</t>
  </si>
  <si>
    <t>082136530620</t>
  </si>
  <si>
    <t>Kebumen</t>
  </si>
  <si>
    <t>Karanggayam</t>
  </si>
  <si>
    <t>PDM Kota Tegal</t>
  </si>
  <si>
    <t>WAHYU HERU TRIYONO</t>
  </si>
  <si>
    <t>08156540969</t>
  </si>
  <si>
    <t>Kota Tegal</t>
  </si>
  <si>
    <t>Margadana</t>
  </si>
  <si>
    <t>NASHRUL HUDA</t>
  </si>
  <si>
    <t>085712052755</t>
  </si>
  <si>
    <t>Undaan</t>
  </si>
  <si>
    <t>PCM Gembong</t>
  </si>
  <si>
    <t>Sarwi</t>
  </si>
  <si>
    <t>085866775044</t>
  </si>
  <si>
    <t>Gembong</t>
  </si>
  <si>
    <t>RTQ Al Mujtaba Ibnu Abbas</t>
  </si>
  <si>
    <t>GUNTUR SUSILO</t>
  </si>
  <si>
    <t>082227722209</t>
  </si>
  <si>
    <t>Pekalongan</t>
  </si>
  <si>
    <t>Doro</t>
  </si>
  <si>
    <t>PDM KAB. BANYUMAS (note: mengajukan titik di PEMALANG --&gt; Perlu konfirmasi</t>
  </si>
  <si>
    <t>Faaiz</t>
  </si>
  <si>
    <t>08112773199</t>
  </si>
  <si>
    <t>NA Bobotsari</t>
  </si>
  <si>
    <t>Erlina Retnawati</t>
  </si>
  <si>
    <t>085740093616</t>
  </si>
  <si>
    <t>Purbalingga</t>
  </si>
  <si>
    <t>Bobotsari</t>
  </si>
  <si>
    <t>Sri Lestari, S.Pd</t>
  </si>
  <si>
    <t>085293863420</t>
  </si>
  <si>
    <t>Syazada Fayyadh Izaz Arrazaq</t>
  </si>
  <si>
    <t>081328198544</t>
  </si>
  <si>
    <t>Tegal</t>
  </si>
  <si>
    <t>Kramat</t>
  </si>
  <si>
    <t>SMK Muhammadiyah 1 Wonosobo</t>
  </si>
  <si>
    <t>Setya Rahmawanto, S.E, M.M</t>
  </si>
  <si>
    <t>08122997933</t>
  </si>
  <si>
    <t>Wonosobo</t>
  </si>
  <si>
    <t>PDM Bondowoso</t>
  </si>
  <si>
    <t>Sofyan Suryantara Noprianto</t>
  </si>
  <si>
    <t>085322574018</t>
  </si>
  <si>
    <t>Tapen</t>
  </si>
  <si>
    <t>PCM LAWANG</t>
  </si>
  <si>
    <t>Muhammad Ali Firmansyah</t>
  </si>
  <si>
    <t>081259475750</t>
  </si>
  <si>
    <t>Lawang</t>
  </si>
  <si>
    <t>PDM Kota Malang</t>
  </si>
  <si>
    <t>Agus Hilman Tuarita</t>
  </si>
  <si>
    <t>081332685490</t>
  </si>
  <si>
    <t>Jawa timur</t>
  </si>
  <si>
    <t>Kota Malang</t>
  </si>
  <si>
    <t>Lowokwaru</t>
  </si>
  <si>
    <t>Pondok Pesantren Modern Al-Furqan Muhammadiyah Banjarmasin</t>
  </si>
  <si>
    <t>Saiful Muthaher</t>
  </si>
  <si>
    <t>081155500212</t>
  </si>
  <si>
    <t>Kalimantan Selatan</t>
  </si>
  <si>
    <t>Banjarmasin</t>
  </si>
  <si>
    <t>Banjarmasin Utara</t>
  </si>
  <si>
    <t>Ponpes Terpadu Al-Mujahidin Balikpapan</t>
  </si>
  <si>
    <t>Rimun</t>
  </si>
  <si>
    <t>081347171299</t>
  </si>
  <si>
    <t>Kalimantan Timur</t>
  </si>
  <si>
    <t>Balikpapan</t>
  </si>
  <si>
    <t>Balikpapan Utara</t>
  </si>
  <si>
    <t>SD Muhammadiyah 2 Samarinda</t>
  </si>
  <si>
    <t>Machnun Uzni</t>
  </si>
  <si>
    <t>082221497143</t>
  </si>
  <si>
    <t>Kota Samarinda</t>
  </si>
  <si>
    <t>Samarinda Ulu</t>
  </si>
  <si>
    <t>LKSA Panti Asuhan Yatim dan Duafa Rita Walidah Aisyiyah</t>
  </si>
  <si>
    <t>Afridah, S. Ag., M. Pd.I</t>
  </si>
  <si>
    <t>082150881131</t>
  </si>
  <si>
    <t>Bulungan</t>
  </si>
  <si>
    <t>Tanjung Selor</t>
  </si>
  <si>
    <t>PCA Bunyu</t>
  </si>
  <si>
    <t>Rini Kurniati</t>
  </si>
  <si>
    <t>082153991138</t>
  </si>
  <si>
    <t>Bunyu</t>
  </si>
  <si>
    <t>SMP Muhammadiyah Tanjung Selor</t>
  </si>
  <si>
    <t>Abdul Rachman</t>
  </si>
  <si>
    <t>082149608038</t>
  </si>
  <si>
    <t>Tanjung selor</t>
  </si>
  <si>
    <t>MBS Tarakan</t>
  </si>
  <si>
    <t>Fajar Budi Cahyono</t>
  </si>
  <si>
    <t>08125405970</t>
  </si>
  <si>
    <t>Tarakan Utara</t>
  </si>
  <si>
    <t>Viciawan Harits Fachreza</t>
  </si>
  <si>
    <t>083831353554</t>
  </si>
  <si>
    <t>Bandar Lampung</t>
  </si>
  <si>
    <t>Sukarame</t>
  </si>
  <si>
    <t>PDM Dharmasraya</t>
  </si>
  <si>
    <t>Isman, S.HI</t>
  </si>
  <si>
    <t>082283999952</t>
  </si>
  <si>
    <t>Dharmasraya</t>
  </si>
  <si>
    <t>Pulau Punjung</t>
  </si>
  <si>
    <t>Majelis Dikdasmen &amp; PNF PWM Sumatera Barat</t>
  </si>
  <si>
    <t>Ari Prima, S.Psi.I., M.Pd.</t>
  </si>
  <si>
    <t>085263233966</t>
  </si>
  <si>
    <t>Kota Padang</t>
  </si>
  <si>
    <t>Lubuk Begalung</t>
  </si>
  <si>
    <t>UNISA Palembang</t>
  </si>
  <si>
    <t>DARMI HARTATI</t>
  </si>
  <si>
    <t>081367306777</t>
  </si>
  <si>
    <t>Sumatera Selatan</t>
  </si>
  <si>
    <t>Kota Palembang</t>
  </si>
  <si>
    <t>Alang-Alang Lebar</t>
  </si>
  <si>
    <t>DIKDASMEN PCM TANJUNG TIRAM</t>
  </si>
  <si>
    <t>Fadhli Mahsan</t>
  </si>
  <si>
    <t>082184858082</t>
  </si>
  <si>
    <t>Sumatera Utara</t>
  </si>
  <si>
    <t>Batu Bara</t>
  </si>
  <si>
    <t>Tanjung Tiram</t>
  </si>
  <si>
    <t>Abyadi Siregar</t>
  </si>
  <si>
    <t>08126342275</t>
  </si>
  <si>
    <t>Kota Medan</t>
  </si>
  <si>
    <t>Medan Marelan</t>
  </si>
  <si>
    <t>PCM Belawan</t>
  </si>
  <si>
    <t>SAIFUL FAMAR, S.S</t>
  </si>
  <si>
    <t>081260808165</t>
  </si>
  <si>
    <t>Medan Belawan</t>
  </si>
  <si>
    <t>PWM Sumut</t>
  </si>
  <si>
    <t>Muhammad Irsyad</t>
  </si>
  <si>
    <t>‪'081390081122‬</t>
  </si>
  <si>
    <t>Medan Amplas</t>
  </si>
  <si>
    <t>PD Muhamandiyah Serdang Bedagai</t>
  </si>
  <si>
    <t>IQBAL ALKINDI</t>
  </si>
  <si>
    <t>081362335215</t>
  </si>
  <si>
    <t>Serdang Begadai</t>
  </si>
  <si>
    <t>Sei Rampah</t>
  </si>
  <si>
    <t>aidil aulia Rafly</t>
  </si>
  <si>
    <t>081337878796</t>
  </si>
  <si>
    <t>Simalungun</t>
  </si>
  <si>
    <t>Dolok Batu Nanggar</t>
  </si>
  <si>
    <t>SMK MUHAMMADIYAH 1 RANGKASBITUNG</t>
  </si>
  <si>
    <t>Firdaus</t>
  </si>
  <si>
    <t>081806072332</t>
  </si>
  <si>
    <t>Lebak</t>
  </si>
  <si>
    <t>Rangkasbitung</t>
  </si>
  <si>
    <t>PDM Kota Bengkulu</t>
  </si>
  <si>
    <t>erika febrianti</t>
  </si>
  <si>
    <t>08112652531</t>
  </si>
  <si>
    <t>Bengkulu</t>
  </si>
  <si>
    <t>Kota Bengkulu</t>
  </si>
  <si>
    <t>Muara Bangka Hulu</t>
  </si>
  <si>
    <t>safira alyaa rinjani</t>
  </si>
  <si>
    <t>082242194629</t>
  </si>
  <si>
    <t>Gading Cempaka</t>
  </si>
  <si>
    <t>ENDRO HARYADI, S.T., M.Pd.</t>
  </si>
  <si>
    <t>08562859615</t>
  </si>
  <si>
    <t>Kulon Progo</t>
  </si>
  <si>
    <t>Lendah</t>
  </si>
  <si>
    <t>PDM Bone Bolango</t>
  </si>
  <si>
    <t>AISA AKE</t>
  </si>
  <si>
    <t>0813401717770</t>
  </si>
  <si>
    <t>Bone Bolango</t>
  </si>
  <si>
    <t>Bulango Tim.</t>
  </si>
  <si>
    <t>PWM Gorontalo</t>
  </si>
  <si>
    <t>DJUANDA OTOLUWA</t>
  </si>
  <si>
    <t>082192333371</t>
  </si>
  <si>
    <t>Gorontalo Utara</t>
  </si>
  <si>
    <t>Kwandang</t>
  </si>
  <si>
    <t>PDM Indramayu</t>
  </si>
  <si>
    <t>Suroto</t>
  </si>
  <si>
    <t>085295599355</t>
  </si>
  <si>
    <t>Indramayu</t>
  </si>
  <si>
    <t>Patrol</t>
  </si>
  <si>
    <t>SMA Muhammadiyah 4  Bandung</t>
  </si>
  <si>
    <t>Purwanto</t>
  </si>
  <si>
    <t>081312231474</t>
  </si>
  <si>
    <t>Cibiru</t>
  </si>
  <si>
    <t>PD PM Kota Bekasi</t>
  </si>
  <si>
    <t>Eko Setia Budi</t>
  </si>
  <si>
    <t>085175118261</t>
  </si>
  <si>
    <t>afrinsyah lubis</t>
  </si>
  <si>
    <t>087823397346</t>
  </si>
  <si>
    <t>Cibarusah</t>
  </si>
  <si>
    <t>Hanafi Mawardi</t>
  </si>
  <si>
    <t>081321359730</t>
  </si>
  <si>
    <t>Tambun Selatan</t>
  </si>
  <si>
    <t>MA Muhammadiyah Bojot</t>
  </si>
  <si>
    <t>Yayan Abdul Aziz</t>
  </si>
  <si>
    <t>082315333424</t>
  </si>
  <si>
    <t>Karangpawitan</t>
  </si>
  <si>
    <t>MAS Muhammadiyah "PLUS" Cisaat</t>
  </si>
  <si>
    <t>Ajat Sudrajat</t>
  </si>
  <si>
    <t>081324458511</t>
  </si>
  <si>
    <t>Kadungora</t>
  </si>
  <si>
    <t>SMK Muhammadiyah Cibiuk</t>
  </si>
  <si>
    <t>Riri Aulia Mauliah</t>
  </si>
  <si>
    <t>0895800166236</t>
  </si>
  <si>
    <t>Cibiuk</t>
  </si>
  <si>
    <t>SMK Muhammadiyah Karangampel</t>
  </si>
  <si>
    <t>Farid Ma’ruf</t>
  </si>
  <si>
    <t>088806761002</t>
  </si>
  <si>
    <t>Karangampel</t>
  </si>
  <si>
    <t>PDM Bandung</t>
  </si>
  <si>
    <t>Faliq Mubarok</t>
  </si>
  <si>
    <t>087825561333</t>
  </si>
  <si>
    <t>Kab Bandung</t>
  </si>
  <si>
    <t>Margahayu</t>
  </si>
  <si>
    <t>Nurohmat</t>
  </si>
  <si>
    <t>085319148755</t>
  </si>
  <si>
    <t>Kab Bekasi</t>
  </si>
  <si>
    <t>PCM Cilengsi</t>
  </si>
  <si>
    <t>Mustopa Idris</t>
  </si>
  <si>
    <t>081210657391</t>
  </si>
  <si>
    <t>Kab. Bogor</t>
  </si>
  <si>
    <t>CIleungsi</t>
  </si>
  <si>
    <t>PCM Tawang</t>
  </si>
  <si>
    <t>Zaenal Aripin</t>
  </si>
  <si>
    <t>082118211882</t>
  </si>
  <si>
    <t>Tasikmalaya</t>
  </si>
  <si>
    <t>Tamansari</t>
  </si>
  <si>
    <t>PDM Banyumas</t>
  </si>
  <si>
    <t>KUSWOYO</t>
  </si>
  <si>
    <t>081327299690</t>
  </si>
  <si>
    <t>Banyumas</t>
  </si>
  <si>
    <t>Sokaraja</t>
  </si>
  <si>
    <t>PCM Petanahan</t>
  </si>
  <si>
    <t>Wisnu Nugroho</t>
  </si>
  <si>
    <t>082220726662</t>
  </si>
  <si>
    <t>Petanahan</t>
  </si>
  <si>
    <t>MOH. SYAMSUL ARIF</t>
  </si>
  <si>
    <t>085865814500</t>
  </si>
  <si>
    <t>Tegal Timur</t>
  </si>
  <si>
    <t>Jumadi</t>
  </si>
  <si>
    <t>081393010994</t>
  </si>
  <si>
    <t>Purwanegara</t>
  </si>
  <si>
    <t>KHOIRUL ANWAR</t>
  </si>
  <si>
    <t>085647969909</t>
  </si>
  <si>
    <t>Wahyudin</t>
  </si>
  <si>
    <t>085291141102</t>
  </si>
  <si>
    <t>Wanayasa</t>
  </si>
  <si>
    <t>PCM PURWOKERTO TIMUR</t>
  </si>
  <si>
    <t>Hudoyo</t>
  </si>
  <si>
    <t>08125880244</t>
  </si>
  <si>
    <t>Purwokerto Timur</t>
  </si>
  <si>
    <t>PCM Sumbang</t>
  </si>
  <si>
    <t>YAHYA, S.Pd.</t>
  </si>
  <si>
    <t>081327014386</t>
  </si>
  <si>
    <t>Sumbang</t>
  </si>
  <si>
    <t>PCM JATI</t>
  </si>
  <si>
    <t>Muh. Musiran</t>
  </si>
  <si>
    <t>081326280532</t>
  </si>
  <si>
    <t>Blora</t>
  </si>
  <si>
    <t>Jati</t>
  </si>
  <si>
    <t>SAHID</t>
  </si>
  <si>
    <t>082220265881</t>
  </si>
  <si>
    <t>Nogosari</t>
  </si>
  <si>
    <t>PCM Wonosalam</t>
  </si>
  <si>
    <t>Asyifatus Sabila</t>
  </si>
  <si>
    <t>085704891711</t>
  </si>
  <si>
    <t>Dempet</t>
  </si>
  <si>
    <t>PCM Demak</t>
  </si>
  <si>
    <t>ACHMAD DJAFAR HASJMI</t>
  </si>
  <si>
    <t>081325314452</t>
  </si>
  <si>
    <t>Sutrisno</t>
  </si>
  <si>
    <t>081344709164</t>
  </si>
  <si>
    <t>Kradenan</t>
  </si>
  <si>
    <t>SYAIFUDDIN</t>
  </si>
  <si>
    <t>08977664703</t>
  </si>
  <si>
    <t>Toroh</t>
  </si>
  <si>
    <t>NGATMIN</t>
  </si>
  <si>
    <t>Karangrayung</t>
  </si>
  <si>
    <t>MASRURI MUHAIDAR</t>
  </si>
  <si>
    <t>Gubug</t>
  </si>
  <si>
    <t>SU’UDI</t>
  </si>
  <si>
    <t>Ngaringan</t>
  </si>
  <si>
    <t>RUMIYAT</t>
  </si>
  <si>
    <t>Wirosari</t>
  </si>
  <si>
    <t>Muslih</t>
  </si>
  <si>
    <t>Mlongo</t>
  </si>
  <si>
    <t>Hardono</t>
  </si>
  <si>
    <t>Kalinyamatan</t>
  </si>
  <si>
    <t>Ahmad Fatkhul Arif</t>
  </si>
  <si>
    <t>0895705430064</t>
  </si>
  <si>
    <t>Sumarjo</t>
  </si>
  <si>
    <t>Batealit</t>
  </si>
  <si>
    <t>PCM Salam</t>
  </si>
  <si>
    <t>Drs. Syamhadi</t>
  </si>
  <si>
    <t>Salam</t>
  </si>
  <si>
    <t>PCM Borobudur</t>
  </si>
  <si>
    <t>Haryono</t>
  </si>
  <si>
    <t>Borobudur</t>
  </si>
  <si>
    <t>PDM Tegal</t>
  </si>
  <si>
    <t>Masnun</t>
  </si>
  <si>
    <t>Kab. Tegal</t>
  </si>
  <si>
    <t>Balapulang</t>
  </si>
  <si>
    <t>RS PKU Muhammadiyah Sruweng</t>
  </si>
  <si>
    <t>RSMA</t>
  </si>
  <si>
    <t>dr. Hasan Bayuni</t>
  </si>
  <si>
    <t>Sruweng</t>
  </si>
  <si>
    <t>Kendal (MPM PP Muhammadiyah)</t>
  </si>
  <si>
    <t>Muhammad Fikron Washly Arifuddin</t>
  </si>
  <si>
    <t>Kendal</t>
  </si>
  <si>
    <t>Sukorejo</t>
  </si>
  <si>
    <t>PDM Kendal</t>
  </si>
  <si>
    <t>M.Fachrudin Kurniawan</t>
  </si>
  <si>
    <t>Weleri</t>
  </si>
  <si>
    <t>PDM Klaten</t>
  </si>
  <si>
    <t>Budi Santoso</t>
  </si>
  <si>
    <t>Klaten</t>
  </si>
  <si>
    <t>Klaten Utara</t>
  </si>
  <si>
    <t>HAVID HIDAYAT, ST</t>
  </si>
  <si>
    <t>Jogonalan</t>
  </si>
  <si>
    <t>Much Sahadi</t>
  </si>
  <si>
    <t>ANSORI</t>
  </si>
  <si>
    <t>Klaten Tengah</t>
  </si>
  <si>
    <t>RODLI, S.Pd</t>
  </si>
  <si>
    <t>Juwiring</t>
  </si>
  <si>
    <t>Drs. MUH. SHOBRON JAMIL</t>
  </si>
  <si>
    <t>Universitas Muhammadiyah Semarang</t>
  </si>
  <si>
    <t>Ali Khamdi</t>
  </si>
  <si>
    <t>Kota Semarang</t>
  </si>
  <si>
    <t>Tembalang</t>
  </si>
  <si>
    <t>PWM Jawa Tengah</t>
  </si>
  <si>
    <t>Acep Azis Ansori</t>
  </si>
  <si>
    <t>kota semarang</t>
  </si>
  <si>
    <t>Mijen</t>
  </si>
  <si>
    <t>PDM PATI</t>
  </si>
  <si>
    <t>SUMARLAN</t>
  </si>
  <si>
    <t>Sukolilo</t>
  </si>
  <si>
    <t>Pondok Pesantren IMBS Miftahul Ulum Pekajangan Pekalongan</t>
  </si>
  <si>
    <t>Sumarno</t>
  </si>
  <si>
    <t>Kedungwuni</t>
  </si>
  <si>
    <t>PCM Comal</t>
  </si>
  <si>
    <t>Comal</t>
  </si>
  <si>
    <t>PDA Rembang</t>
  </si>
  <si>
    <t>Supriyanti</t>
  </si>
  <si>
    <t>Lasem</t>
  </si>
  <si>
    <t>PDM Rembang</t>
  </si>
  <si>
    <t>Mukhlish Hammad</t>
  </si>
  <si>
    <t>PCM Sumowono</t>
  </si>
  <si>
    <t>Syaiful Hidayat</t>
  </si>
  <si>
    <t>085726904868</t>
  </si>
  <si>
    <t>Sumowono</t>
  </si>
  <si>
    <t>PCM Masaran</t>
  </si>
  <si>
    <t>Prof. DR. Suharno, ST, MT.</t>
  </si>
  <si>
    <t>Tangen</t>
  </si>
  <si>
    <t>PDA Sragen Jatitengah</t>
  </si>
  <si>
    <t>DWI ASTUTI</t>
  </si>
  <si>
    <t>Sukodono</t>
  </si>
  <si>
    <t>Wibowo Juli Saputro</t>
  </si>
  <si>
    <t>Mondokan</t>
  </si>
  <si>
    <t>Muhamad Safrudin</t>
  </si>
  <si>
    <t>Grogol</t>
  </si>
  <si>
    <t>Angger Puspitasari, S.E</t>
  </si>
  <si>
    <t>Drs. SULARNO, MM.MSc.</t>
  </si>
  <si>
    <t>Eromoko</t>
  </si>
  <si>
    <t>Titik Herawati</t>
  </si>
  <si>
    <t>Tirtomoyo</t>
  </si>
  <si>
    <t>Taufik Rohman</t>
  </si>
  <si>
    <t>Purwantoro</t>
  </si>
  <si>
    <t>MUSLIHAH</t>
  </si>
  <si>
    <t>Bangkalan</t>
  </si>
  <si>
    <t>Blega</t>
  </si>
  <si>
    <t>Masutra</t>
  </si>
  <si>
    <t>081252893493</t>
  </si>
  <si>
    <t>Glenmore</t>
  </si>
  <si>
    <t>Herunanto Endroyono</t>
  </si>
  <si>
    <t>0851-0000-1560</t>
  </si>
  <si>
    <t>Singosari</t>
  </si>
  <si>
    <t>Pesantren Entrepreneur Muhammadiyah</t>
  </si>
  <si>
    <t>Catur Sunariadi</t>
  </si>
  <si>
    <t>Kab. Malang</t>
  </si>
  <si>
    <t>Sugiarto</t>
  </si>
  <si>
    <t>Genteng</t>
  </si>
  <si>
    <t>Mohammad Imron Rosadi</t>
  </si>
  <si>
    <t>081252657677</t>
  </si>
  <si>
    <t>Muncar</t>
  </si>
  <si>
    <t>Bahrul Muhith</t>
  </si>
  <si>
    <t>Tenggarang</t>
  </si>
  <si>
    <t>Roni Versal</t>
  </si>
  <si>
    <t>Kedungkandang</t>
  </si>
  <si>
    <t>Fatkhur Rokhman</t>
  </si>
  <si>
    <t>Sukun</t>
  </si>
  <si>
    <t>MTs Muhammadiyah Boarding School Barat</t>
  </si>
  <si>
    <t>Muhammad Fahmi</t>
  </si>
  <si>
    <t>081326924369</t>
  </si>
  <si>
    <t>Magetan</t>
  </si>
  <si>
    <t>Kartoharjo</t>
  </si>
  <si>
    <t>PDM Melawi</t>
  </si>
  <si>
    <t>Amri Kalam</t>
  </si>
  <si>
    <t>085168844060</t>
  </si>
  <si>
    <t>Kalimantan Barat</t>
  </si>
  <si>
    <t>Melawi</t>
  </si>
  <si>
    <t>Nanga Pinoh</t>
  </si>
  <si>
    <t>PDM Hulu Sungai Tengah</t>
  </si>
  <si>
    <t>Abdul Hadi</t>
  </si>
  <si>
    <t>HST</t>
  </si>
  <si>
    <t>Barabai</t>
  </si>
  <si>
    <t>PWM Kaltara</t>
  </si>
  <si>
    <t>RAHMAN</t>
  </si>
  <si>
    <t>Tarakan Timur</t>
  </si>
  <si>
    <t>PC NA Tangkit Batu</t>
  </si>
  <si>
    <t>Heni wijayanti</t>
  </si>
  <si>
    <t>Lampung Selatan</t>
  </si>
  <si>
    <t>Natar</t>
  </si>
  <si>
    <t>Ahsanal Huda</t>
  </si>
  <si>
    <t>PDM Kampar</t>
  </si>
  <si>
    <t>Ilham Tamimi</t>
  </si>
  <si>
    <t>Riau</t>
  </si>
  <si>
    <t>Kampar</t>
  </si>
  <si>
    <t>Bangkinang Kota</t>
  </si>
  <si>
    <t>PDM Kota Pekanbaru</t>
  </si>
  <si>
    <t>Jabarullah</t>
  </si>
  <si>
    <t>0812-7604-492</t>
  </si>
  <si>
    <t>Sukajadi</t>
  </si>
  <si>
    <t>Jadirejo</t>
  </si>
  <si>
    <t>Panti Asuhan Muhammadiyah Pomalaa</t>
  </si>
  <si>
    <t>Drs. Amirullah</t>
  </si>
  <si>
    <t>Sulawesi Tenggara</t>
  </si>
  <si>
    <t>Kolaka</t>
  </si>
  <si>
    <t>Pomalaa</t>
  </si>
  <si>
    <t>Aflina</t>
  </si>
  <si>
    <t>Yurnalis</t>
  </si>
  <si>
    <t>Padang Laweh</t>
  </si>
  <si>
    <t>Hengki Purnanda</t>
  </si>
  <si>
    <t>Koto Salak</t>
  </si>
  <si>
    <t>Musliman Zamakhsyari</t>
  </si>
  <si>
    <t>Timpeh</t>
  </si>
  <si>
    <t>Prisnawati</t>
  </si>
  <si>
    <t>DPD IMM Sumatera Barat</t>
  </si>
  <si>
    <t>Evel Mufri Saifoel</t>
  </si>
  <si>
    <t>SIjunjung</t>
  </si>
  <si>
    <t>IV Nagari</t>
  </si>
  <si>
    <t>Nasrul</t>
  </si>
  <si>
    <t>Sitiung</t>
  </si>
  <si>
    <t>Rido Afdila</t>
  </si>
  <si>
    <t>Bambang Nofrianto</t>
  </si>
  <si>
    <t>Sungai Rumbai</t>
  </si>
  <si>
    <t>Universitas Muhammadiyah Sumatera Utara</t>
  </si>
  <si>
    <t>Zaka Apdillah</t>
  </si>
  <si>
    <t>Sumatera utara</t>
  </si>
  <si>
    <t>Deli Serdang</t>
  </si>
  <si>
    <t>Percut Sei Tuan</t>
  </si>
  <si>
    <t>Sukisno</t>
  </si>
  <si>
    <t>085222013900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</si>
</sst>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7">
    <font>
      <sz val="11"/>
      <color theme="1"/>
      <name val="Calibri"/>
      <charset val="1"/>
      <scheme val="minor"/>
    </font>
    <font>
      <b/>
      <sz val="10"/>
      <name val="Tahoma"/>
      <charset val="134"/>
    </font>
    <font>
      <sz val="10"/>
      <name val="Tahoma"/>
      <charset val="134"/>
    </font>
    <font>
      <sz val="10"/>
      <color theme="1"/>
      <name val="Arial"/>
      <charset val="134"/>
    </font>
    <font>
      <sz val="11"/>
      <color rgb="FF09090B"/>
      <name val="Urbanist"/>
      <charset val="134"/>
    </font>
    <font>
      <sz val="10"/>
      <name val="Roboto"/>
      <charset val="134"/>
    </font>
    <font>
      <sz val="10"/>
      <color theme="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wrapText="1"/>
    </xf>
    <xf numFmtId="0" fontId="6" fillId="5" borderId="2" xfId="0" applyFont="1" applyFill="1" applyBorder="1" applyAlignment="1">
      <alignment horizontal="center" wrapText="1"/>
    </xf>
    <xf numFmtId="0" fontId="2" fillId="2" borderId="4" xfId="0" applyFont="1" applyFill="1" applyBorder="1" applyAlignment="1" quotePrefix="1">
      <alignment horizontal="center" vertical="center" wrapText="1"/>
    </xf>
    <xf numFmtId="0" fontId="3" fillId="2" borderId="2" xfId="0" applyFont="1" applyFill="1" applyBorder="1" applyAlignment="1" quotePrefix="1">
      <alignment wrapText="1"/>
    </xf>
    <xf numFmtId="0" fontId="5" fillId="0" borderId="2" xfId="0" applyFont="1" applyBorder="1" applyAlignment="1" quotePrefix="1">
      <alignment wrapText="1"/>
    </xf>
    <xf numFmtId="0" fontId="3" fillId="0" borderId="2" xfId="0" applyFont="1" applyBorder="1" applyAlignment="1" quotePrefix="1">
      <alignment wrapText="1"/>
    </xf>
    <xf numFmtId="0" fontId="3" fillId="2" borderId="2" xfId="0" applyFont="1" applyFill="1" applyBorder="1" applyAlignment="1" quotePrefix="1">
      <alignment vertical="center" wrapText="1"/>
    </xf>
    <xf numFmtId="0" fontId="2" fillId="4" borderId="2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dam/Downloads/dapur%20selesai%20dan%20all%20dapu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pur Selesai"/>
      <sheetName val="Rekap Dapur"/>
    </sheetNames>
    <sheetDataSet>
      <sheetData sheetId="0"/>
      <sheetData sheetId="1">
        <row r="5">
          <cell r="I5" t="str">
            <v>ID SPPG : DJHZ1O9D</v>
          </cell>
        </row>
        <row r="6">
          <cell r="I6" t="str">
            <v>ID SPPG : GHXEEHP3</v>
          </cell>
        </row>
        <row r="7">
          <cell r="I7" t="str">
            <v>ID SPPG: WWXK9XFH</v>
          </cell>
        </row>
        <row r="8">
          <cell r="I8" t="str">
            <v>ID SPPG: QUQ8XS1C</v>
          </cell>
        </row>
        <row r="9">
          <cell r="I9" t="str">
            <v>ID SPPG: HKUDZUR0</v>
          </cell>
        </row>
        <row r="10">
          <cell r="I10" t="str">
            <v>ID SPPG : 7QU1OXMP</v>
          </cell>
        </row>
        <row r="11">
          <cell r="I11" t="str">
            <v>ID SPPG : QV5EOMUJ</v>
          </cell>
        </row>
        <row r="12">
          <cell r="I12" t="str">
            <v>ID SPPG : ZVEDOWH8</v>
          </cell>
        </row>
        <row r="13">
          <cell r="I13" t="str">
            <v>ID SPPG: VEKDV3E1</v>
          </cell>
        </row>
        <row r="14">
          <cell r="I14" t="str">
            <v>ID SPPG: 6EKMQEEM</v>
          </cell>
        </row>
        <row r="15">
          <cell r="I15" t="str">
            <v>ID SPPG: NZ3HPLZ5</v>
          </cell>
        </row>
        <row r="16">
          <cell r="I16" t="str">
            <v>ID SPPG : 5TSTU6OU</v>
          </cell>
        </row>
        <row r="17">
          <cell r="I17" t="str">
            <v>ID SPPG : CNLRIE73</v>
          </cell>
        </row>
        <row r="18">
          <cell r="I18" t="str">
            <v>ID SPPG : VTE8R5X8</v>
          </cell>
        </row>
        <row r="19">
          <cell r="I19" t="str">
            <v>ID SPPG : AZ8SZTWU</v>
          </cell>
        </row>
        <row r="20">
          <cell r="I20" t="str">
            <v>ID SPPG: WVBZF10M</v>
          </cell>
        </row>
        <row r="21">
          <cell r="I21" t="str">
            <v>ID SPPG: AVCZZUCN</v>
          </cell>
        </row>
        <row r="22">
          <cell r="I22" t="str">
            <v>ID SPPG: 9Z9UWQ1T</v>
          </cell>
        </row>
        <row r="23">
          <cell r="I23" t="str">
            <v>ID SPPG: ZUQVDVXT</v>
          </cell>
        </row>
        <row r="24">
          <cell r="I24" t="str">
            <v>ID SPPG: Y3LOJSGO</v>
          </cell>
        </row>
        <row r="25">
          <cell r="I25" t="str">
            <v>ID SPPG : QZNJRY5K</v>
          </cell>
        </row>
        <row r="26">
          <cell r="I26" t="str">
            <v>ID SPPG : IDEKWKMM</v>
          </cell>
        </row>
        <row r="27">
          <cell r="I27" t="str">
            <v>ID SPPG : 4SGYSDKU</v>
          </cell>
        </row>
        <row r="28">
          <cell r="I28" t="str">
            <v>ID SPPG : FUOH5QS6</v>
          </cell>
        </row>
        <row r="29">
          <cell r="I29" t="str">
            <v>ID SPPG : KBO6YNEA</v>
          </cell>
        </row>
        <row r="30">
          <cell r="I30" t="str">
            <v>ID SPPG : 1XSVISIJ</v>
          </cell>
        </row>
        <row r="31">
          <cell r="I31" t="str">
            <v>ID SPPG : QMTHFJVZ</v>
          </cell>
        </row>
        <row r="32">
          <cell r="I32" t="str">
            <v>ID SPPG : OMTPS7IC</v>
          </cell>
        </row>
        <row r="33">
          <cell r="I33" t="str">
            <v>LK8V8NGK</v>
          </cell>
        </row>
        <row r="34">
          <cell r="I34" t="str">
            <v>ID SPPG : SQ1BF5CP</v>
          </cell>
        </row>
        <row r="35">
          <cell r="I35" t="str">
            <v>ID SPPG: TV9IBAEP</v>
          </cell>
        </row>
        <row r="36">
          <cell r="I36" t="str">
            <v>ID SPPG : KTWXUWJD</v>
          </cell>
        </row>
        <row r="37">
          <cell r="I37" t="str">
            <v>ID SPPG : VAO5XN5A</v>
          </cell>
        </row>
        <row r="38">
          <cell r="I38" t="str">
            <v>ID SPPG : ZJXFUNNU</v>
          </cell>
        </row>
        <row r="39">
          <cell r="I39" t="str">
            <v>ID SPPG: WRYRFGVN</v>
          </cell>
        </row>
        <row r="40">
          <cell r="I40" t="str">
            <v>ID SPPG: I3CCF4RO</v>
          </cell>
        </row>
        <row r="41">
          <cell r="I41" t="str">
            <v>ID SPPG: CS35EQNV</v>
          </cell>
        </row>
        <row r="42">
          <cell r="I42" t="str">
            <v>ID SPPG: OPZ2XSWY</v>
          </cell>
        </row>
        <row r="43">
          <cell r="I43" t="str">
            <v>ID SPPG : QM5DPYYJ</v>
          </cell>
        </row>
        <row r="44">
          <cell r="I44" t="str">
            <v>ID SPPG : X8LIDULN</v>
          </cell>
        </row>
        <row r="45">
          <cell r="I45" t="str">
            <v>ID SPPG : DY8TZXC9</v>
          </cell>
        </row>
        <row r="46">
          <cell r="I46" t="str">
            <v>ID SPPG : EH5B3ODI</v>
          </cell>
        </row>
        <row r="47">
          <cell r="I47" t="str">
            <v>ID SPPG : 4RNZFLNQ</v>
          </cell>
        </row>
        <row r="48">
          <cell r="I48" t="str">
            <v>ID SPPG : C76FVXJX</v>
          </cell>
        </row>
        <row r="49">
          <cell r="I49" t="str">
            <v>ID SPPG : FMJMZPBZ</v>
          </cell>
        </row>
        <row r="50">
          <cell r="I50" t="str">
            <v>ID SPPG : 6XKVBESR</v>
          </cell>
        </row>
        <row r="51">
          <cell r="I51" t="str">
            <v>ID SPPG: PFWZWOTZ</v>
          </cell>
        </row>
        <row r="52">
          <cell r="I52" t="str">
            <v>ID SPPG: 02VQKESX</v>
          </cell>
        </row>
        <row r="53">
          <cell r="I53" t="str">
            <v>ID SPPG: BIJNIPMW</v>
          </cell>
        </row>
        <row r="54">
          <cell r="I54" t="str">
            <v>ID SPPG : K3X1EL5H</v>
          </cell>
        </row>
        <row r="55">
          <cell r="I55" t="str">
            <v>ID SPPG : 0ZDLVY8W</v>
          </cell>
        </row>
        <row r="56">
          <cell r="I56" t="str">
            <v>ID SPPG : HSV3B9DO</v>
          </cell>
        </row>
        <row r="57">
          <cell r="I57" t="str">
            <v>ID SPPG: IEK4UA1H</v>
          </cell>
        </row>
        <row r="58">
          <cell r="I58" t="str">
            <v>ID SPPG : LLXFLXMO</v>
          </cell>
        </row>
        <row r="59">
          <cell r="I59" t="str">
            <v>ID SPPG : DYRIYKMV</v>
          </cell>
        </row>
        <row r="60">
          <cell r="I60" t="str">
            <v>ID SPPG : 4JPWOYXB</v>
          </cell>
        </row>
        <row r="61">
          <cell r="I61" t="str">
            <v>ID SPPG : OWIK42DJ</v>
          </cell>
        </row>
        <row r="62">
          <cell r="I62" t="str">
            <v>ID SPPG : KRZ6XWHU</v>
          </cell>
        </row>
        <row r="63">
          <cell r="I63" t="str">
            <v>ID SPPG : GC8T6IBY</v>
          </cell>
        </row>
        <row r="64">
          <cell r="I64" t="str">
            <v>ID SPPG : GIGKGDIF</v>
          </cell>
        </row>
        <row r="65">
          <cell r="I65" t="str">
            <v>ID SPPG : LRUH617B</v>
          </cell>
        </row>
        <row r="66">
          <cell r="I66" t="str">
            <v>ID SPPG : 0WFMXVTY</v>
          </cell>
        </row>
        <row r="67">
          <cell r="I67" t="str">
            <v>ID SPPG : U4CTQLYA</v>
          </cell>
        </row>
        <row r="68">
          <cell r="I68" t="str">
            <v>ID SPPG: PLHXX5TK</v>
          </cell>
        </row>
        <row r="69">
          <cell r="I69" t="str">
            <v>ID SPPG : CHU0BM5Y</v>
          </cell>
        </row>
        <row r="70">
          <cell r="I70" t="str">
            <v>ID SPPG : QN1CWJTH</v>
          </cell>
        </row>
        <row r="71">
          <cell r="I71" t="str">
            <v>ID SPPG : KHPWKVFC</v>
          </cell>
        </row>
        <row r="72">
          <cell r="I72" t="str">
            <v>ID SPPG: CKV3GO43</v>
          </cell>
        </row>
        <row r="73">
          <cell r="I73" t="str">
            <v>ID SPPG: V38OQIHK</v>
          </cell>
        </row>
        <row r="74">
          <cell r="I74" t="str">
            <v>ID SPPG : GKMZPC84</v>
          </cell>
        </row>
        <row r="75">
          <cell r="I75" t="str">
            <v>ID SPPG : TQNUBHPW</v>
          </cell>
        </row>
        <row r="76">
          <cell r="I76" t="str">
            <v>ID SPPG : PTT0NGQI</v>
          </cell>
        </row>
        <row r="77">
          <cell r="I77" t="str">
            <v>ID SPPG: HDHTU2FW</v>
          </cell>
        </row>
        <row r="78">
          <cell r="I78" t="str">
            <v>ID SPPG : GI9NNNWI</v>
          </cell>
        </row>
        <row r="79">
          <cell r="I79" t="str">
            <v>ID SPPG : EHVDWHDH</v>
          </cell>
        </row>
        <row r="80">
          <cell r="I80" t="str">
            <v>ID SPPG : YTBEFO8P</v>
          </cell>
        </row>
        <row r="81">
          <cell r="I81" t="str">
            <v>ID SPPG : NIGBQDTZ ·</v>
          </cell>
        </row>
        <row r="82">
          <cell r="I82" t="str">
            <v>ID SPPG : ASBNF2KK</v>
          </cell>
        </row>
        <row r="83">
          <cell r="I83" t="str">
            <v>ID SPPG: HTICPVNG</v>
          </cell>
        </row>
        <row r="84">
          <cell r="I84" t="str">
            <v>ID SPPG : FVYIAMD4</v>
          </cell>
        </row>
        <row r="85">
          <cell r="I85" t="str">
            <v>ID SPPG : C8CK0UN0</v>
          </cell>
        </row>
        <row r="86">
          <cell r="I86" t="str">
            <v>ID SPPG : XZ0610UK</v>
          </cell>
        </row>
        <row r="87">
          <cell r="I87" t="str">
            <v>ID SPPG: FM50RLR1</v>
          </cell>
        </row>
        <row r="88">
          <cell r="I88" t="str">
            <v>ID SPPG : APUXMNOH</v>
          </cell>
        </row>
        <row r="89">
          <cell r="I89" t="str">
            <v>ID SPPG : NSPBFOJF</v>
          </cell>
        </row>
        <row r="90">
          <cell r="I90" t="str">
            <v>ID SPPG: PNBVCLPX</v>
          </cell>
        </row>
        <row r="91">
          <cell r="I91" t="str">
            <v>ID SPPG : 0V4BWOJU ·</v>
          </cell>
        </row>
        <row r="92">
          <cell r="I92" t="str">
            <v>ID SPPG : AU8ZJHBY</v>
          </cell>
        </row>
        <row r="93">
          <cell r="I93" t="str">
            <v>ID SPPG : 833NEZLA</v>
          </cell>
        </row>
        <row r="94">
          <cell r="I94" t="str">
            <v>ID SPPG : COMVTMTG</v>
          </cell>
        </row>
        <row r="95">
          <cell r="I95" t="str">
            <v>ID SPPG : BU4ZNR1W</v>
          </cell>
        </row>
        <row r="96">
          <cell r="I96" t="str">
            <v>ID SPPG : MSHRHPJS</v>
          </cell>
        </row>
        <row r="97">
          <cell r="I97" t="str">
            <v>ID SPPG : 03UMLTCI</v>
          </cell>
        </row>
        <row r="98">
          <cell r="I98" t="str">
            <v>ID SPPG : NS3UVKQJ</v>
          </cell>
        </row>
        <row r="99">
          <cell r="I99" t="str">
            <v>ID SPPG : W2VJWXZP</v>
          </cell>
        </row>
        <row r="100">
          <cell r="I100" t="str">
            <v>ID SPPG : DQI4KVYQ</v>
          </cell>
        </row>
        <row r="101">
          <cell r="I101" t="str">
            <v>ID SPPG : MSWG3J0Y</v>
          </cell>
        </row>
        <row r="102">
          <cell r="I102" t="str">
            <v>ID SPPG : 2CERQVY0</v>
          </cell>
        </row>
        <row r="103">
          <cell r="I103" t="str">
            <v>ID SPPG : 0CYVS6FC</v>
          </cell>
        </row>
        <row r="104">
          <cell r="I104" t="str">
            <v>ID SPPG : ZBWN6UEO</v>
          </cell>
        </row>
        <row r="105">
          <cell r="I105" t="str">
            <v>AZGLO0AG</v>
          </cell>
        </row>
        <row r="106">
          <cell r="I106" t="str">
            <v>ID SPPG : JI3QFVDY</v>
          </cell>
        </row>
        <row r="107">
          <cell r="I107" t="str">
            <v>ID SPPG : YZ9EDXZC</v>
          </cell>
        </row>
        <row r="108">
          <cell r="I108" t="str">
            <v>ID SPPG : GBLHXRQY</v>
          </cell>
        </row>
        <row r="109">
          <cell r="I109" t="str">
            <v>BMDRCNDX</v>
          </cell>
        </row>
        <row r="110">
          <cell r="I110" t="str">
            <v>ID SPPG : XQRHOBHZ</v>
          </cell>
        </row>
        <row r="111">
          <cell r="I111" t="str">
            <v>ID SPPG : GWL5PUOD</v>
          </cell>
        </row>
        <row r="112">
          <cell r="I112" t="str">
            <v>ID SPPG : EXEV3B0U</v>
          </cell>
        </row>
        <row r="113">
          <cell r="I113" t="str">
            <v>ID SPPG: VO3TE2SK</v>
          </cell>
        </row>
        <row r="114">
          <cell r="I114" t="str">
            <v>ID SPPG : LVKYGUJF</v>
          </cell>
        </row>
        <row r="115">
          <cell r="I115" t="str">
            <v>ID SPPG : GAINQ13N</v>
          </cell>
        </row>
        <row r="116">
          <cell r="I116" t="str">
            <v>ID SPPG: W4X2STUC</v>
          </cell>
        </row>
        <row r="117">
          <cell r="I117" t="str">
            <v>ID SPPG: AAERMSYN</v>
          </cell>
        </row>
        <row r="118">
          <cell r="I118" t="str">
            <v>ID SPPG : 4USSJI0R</v>
          </cell>
        </row>
        <row r="119">
          <cell r="I119" t="str">
            <v>ID SPPG : LLWOHQJY</v>
          </cell>
        </row>
        <row r="120">
          <cell r="I120" t="str">
            <v>ID SPPG : VCDOZT7R</v>
          </cell>
        </row>
        <row r="121">
          <cell r="I121" t="str">
            <v>ID SPPG: EN2GOZOK</v>
          </cell>
        </row>
        <row r="122">
          <cell r="I122" t="str">
            <v>ID SPPG : EEVJW4SA</v>
          </cell>
        </row>
        <row r="123">
          <cell r="I123" t="str">
            <v>T3PKKZ9Y</v>
          </cell>
        </row>
        <row r="124">
          <cell r="I124" t="str">
            <v>ID SPPG : 0QRZ46ER</v>
          </cell>
        </row>
        <row r="125">
          <cell r="I125" t="str">
            <v>NMKDKU3L</v>
          </cell>
        </row>
        <row r="126">
          <cell r="I126" t="str">
            <v>D SPPG : FTZQFECN</v>
          </cell>
        </row>
        <row r="127">
          <cell r="I127" t="str">
            <v>ID SPPG : Z3EXT7IZ</v>
          </cell>
        </row>
        <row r="128">
          <cell r="I128" t="str">
            <v>ID SPPG : HBCANIH2</v>
          </cell>
        </row>
        <row r="129">
          <cell r="I129" t="str">
            <v>ID SPPG : RSWVPBCE</v>
          </cell>
        </row>
        <row r="130">
          <cell r="I130" t="str">
            <v>ID SPPG : LHLTFR16</v>
          </cell>
        </row>
        <row r="131">
          <cell r="I131" t="str">
            <v>ID SPPG : 2ICPZFU0</v>
          </cell>
        </row>
        <row r="132">
          <cell r="I132" t="str">
            <v>ID SPPG: NBTIOZKM</v>
          </cell>
        </row>
        <row r="133">
          <cell r="I133" t="str">
            <v>ID SPPG : E5RVUXQY</v>
          </cell>
        </row>
        <row r="134">
          <cell r="I134" t="str">
            <v>ID SPPG : 4FO4BTFU</v>
          </cell>
        </row>
        <row r="135">
          <cell r="I135" t="str">
            <v>ID SPPG : 8CWXODAG</v>
          </cell>
        </row>
        <row r="136">
          <cell r="I136" t="str">
            <v>ID SPPG : LSYRMXCX</v>
          </cell>
        </row>
        <row r="137">
          <cell r="I137" t="str">
            <v>ID SPPG : OBHA149N</v>
          </cell>
        </row>
        <row r="138">
          <cell r="I138" t="str">
            <v>ID SPPG : 9RV205CO</v>
          </cell>
        </row>
        <row r="139">
          <cell r="I139" t="str">
            <v>ID SPPG : TFMDOBI5</v>
          </cell>
        </row>
        <row r="140">
          <cell r="I140" t="str">
            <v>ID SPPG: BAWFWXGG</v>
          </cell>
        </row>
        <row r="141">
          <cell r="I141" t="str">
            <v>ID SPPG: BUQUDQKF</v>
          </cell>
        </row>
        <row r="142">
          <cell r="I142" t="str">
            <v>ID SPPG : KUXH6MD5</v>
          </cell>
        </row>
        <row r="143">
          <cell r="I143" t="str">
            <v>ID SPPG: R4XU7GDT</v>
          </cell>
        </row>
        <row r="144">
          <cell r="I144" t="str">
            <v>ID SPPG : EBYUPBEA</v>
          </cell>
        </row>
        <row r="145">
          <cell r="I145" t="str">
            <v>ID SPPG : S98F6IPY</v>
          </cell>
        </row>
        <row r="146">
          <cell r="I146" t="str">
            <v>ID SPPG : KPOFRTNC</v>
          </cell>
        </row>
        <row r="147">
          <cell r="I147" t="str">
            <v>ID SPPG : SJQ3FLID</v>
          </cell>
        </row>
        <row r="148">
          <cell r="I148" t="str">
            <v>ID SPPG : BTCNN998</v>
          </cell>
        </row>
        <row r="149">
          <cell r="I149" t="str">
            <v>ID SPPG : RQN0FAWW</v>
          </cell>
        </row>
        <row r="150">
          <cell r="I150" t="str">
            <v>ID SPPG : MTRHHFOO</v>
          </cell>
        </row>
        <row r="151">
          <cell r="I151" t="str">
            <v>ID SPPG : XANFD28W</v>
          </cell>
        </row>
        <row r="152">
          <cell r="I152" t="str">
            <v>ID SPPG : HTSAWHMC</v>
          </cell>
        </row>
        <row r="153">
          <cell r="I153" t="str">
            <v>ID SPPG : BWDBSSWD</v>
          </cell>
        </row>
        <row r="154">
          <cell r="I154" t="str">
            <v>ID SPPG: KKUCLGVS</v>
          </cell>
        </row>
        <row r="155">
          <cell r="I155" t="str">
            <v>ID SPPG : EMA7NRR4</v>
          </cell>
        </row>
        <row r="156">
          <cell r="I156" t="str">
            <v>ID SPPG : PZ09FHC7</v>
          </cell>
        </row>
        <row r="157">
          <cell r="I157" t="str">
            <v>ID SPPG : YBE9WBSZ</v>
          </cell>
        </row>
        <row r="158">
          <cell r="I158" t="str">
            <v>ID SPPG : JWKGPK3K ·</v>
          </cell>
        </row>
        <row r="159">
          <cell r="I159" t="str">
            <v>ID SPPG : ND0SKXEJ</v>
          </cell>
        </row>
        <row r="160">
          <cell r="I160" t="str">
            <v>ID SPPG : WN6I38HZ</v>
          </cell>
        </row>
        <row r="161">
          <cell r="I161" t="str">
            <v>ID SPPG : JQQ8ZHRK</v>
          </cell>
        </row>
        <row r="162">
          <cell r="I162" t="str">
            <v>ID SPPG : MYDWEPG3</v>
          </cell>
        </row>
        <row r="163">
          <cell r="I163" t="str">
            <v>ID SPPG : OPDE9K9M</v>
          </cell>
        </row>
        <row r="164">
          <cell r="I164" t="str">
            <v>ID SPPG : UUR1ARSL</v>
          </cell>
        </row>
        <row r="165">
          <cell r="I165" t="str">
            <v>ID SPPG : HEWO8RUZ</v>
          </cell>
        </row>
        <row r="166">
          <cell r="I166" t="str">
            <v>ID SPPG : 9WE0OMAT</v>
          </cell>
        </row>
        <row r="167">
          <cell r="I167" t="str">
            <v>ID SPPG : Z1ILNYBO</v>
          </cell>
        </row>
        <row r="168">
          <cell r="I168" t="str">
            <v>ID SPPG: WBR6WIFM</v>
          </cell>
        </row>
        <row r="169">
          <cell r="I169" t="str">
            <v>ID SPPG : BVRYNLDB</v>
          </cell>
        </row>
        <row r="170">
          <cell r="I170" t="str">
            <v>ID SPPG : YHOQTQ79</v>
          </cell>
        </row>
        <row r="171">
          <cell r="I171" t="str">
            <v>ID SPPG : 1TDPXH1J</v>
          </cell>
        </row>
        <row r="172">
          <cell r="I172" t="str">
            <v>ID SPPG: 5XWOQFP8</v>
          </cell>
        </row>
        <row r="173">
          <cell r="I173" t="str">
            <v>ID SPPG : ZGLIMQ8A</v>
          </cell>
        </row>
        <row r="174">
          <cell r="I174" t="str">
            <v>ID SPPG : EKEH0OY4</v>
          </cell>
        </row>
        <row r="175">
          <cell r="I175" t="str">
            <v>ID SPPG: 8MHYO6E3</v>
          </cell>
        </row>
        <row r="176">
          <cell r="I176" t="str">
            <v>ID SPPG : TUEBZXUG</v>
          </cell>
        </row>
        <row r="177">
          <cell r="I177" t="str">
            <v>ID SPPG : C6TWEQJN</v>
          </cell>
        </row>
        <row r="178">
          <cell r="I178" t="str">
            <v>ID SPPG : YBAENC62</v>
          </cell>
        </row>
        <row r="179">
          <cell r="I179" t="str">
            <v>ID SPPG : XF1EAY3X</v>
          </cell>
        </row>
        <row r="180">
          <cell r="I180" t="str">
            <v>ID SPPG : RN0NHDQE</v>
          </cell>
        </row>
        <row r="181">
          <cell r="I181" t="str">
            <v>ID SPPG : QL7NER7F</v>
          </cell>
        </row>
        <row r="182">
          <cell r="I182" t="str">
            <v>ID SPPG : 71PIBIPZ</v>
          </cell>
        </row>
        <row r="183">
          <cell r="I183" t="str">
            <v>ID SPPG : FXXKRAOO</v>
          </cell>
        </row>
        <row r="184">
          <cell r="I184" t="str">
            <v>ID SPPG : UVIMLPQI</v>
          </cell>
        </row>
        <row r="185">
          <cell r="I185" t="str">
            <v>ID SPPG : TIK0V36T</v>
          </cell>
        </row>
        <row r="186">
          <cell r="I186" t="str">
            <v>ID SPPG : KOCGOFOM</v>
          </cell>
        </row>
        <row r="187">
          <cell r="I187" t="str">
            <v>ID SPPG : MGXNKE1K</v>
          </cell>
        </row>
        <row r="188">
          <cell r="I188" t="str">
            <v>ID SPPG : ZGWFLXHA</v>
          </cell>
        </row>
        <row r="189">
          <cell r="I189" t="str">
            <v>ID SPPG : NINTDDKZ</v>
          </cell>
        </row>
        <row r="190">
          <cell r="I190" t="str">
            <v>ID SPPG : RFGQ8NWO</v>
          </cell>
        </row>
        <row r="191">
          <cell r="I191" t="str">
            <v>ID SPPG : XTN30EZE</v>
          </cell>
        </row>
        <row r="192">
          <cell r="I192" t="str">
            <v>ID SPPG : CB7LNRLQ</v>
          </cell>
        </row>
        <row r="193">
          <cell r="I193" t="str">
            <v>ID SPPG : HHMA8IVR</v>
          </cell>
        </row>
        <row r="194">
          <cell r="I194" t="str">
            <v>ID SPPG : SSBHPCOE</v>
          </cell>
        </row>
        <row r="195">
          <cell r="I195" t="str">
            <v>ID SPPG : QXSICFM5</v>
          </cell>
        </row>
        <row r="196">
          <cell r="I196" t="str">
            <v>ID SPPG : YXEZULLC</v>
          </cell>
        </row>
        <row r="197">
          <cell r="I197" t="str">
            <v>ID SPPG : GWKEY1GK</v>
          </cell>
        </row>
        <row r="198">
          <cell r="I198" t="str">
            <v>ID SPPG : TET8ZTA6</v>
          </cell>
        </row>
        <row r="199">
          <cell r="I199" t="str">
            <v>ID SPPG : OCHBQIXT</v>
          </cell>
        </row>
        <row r="200">
          <cell r="I200" t="str">
            <v>ID SPPG : 4AZV9UIN</v>
          </cell>
        </row>
        <row r="201">
          <cell r="I201" t="str">
            <v>ID SPPG : QJ1PL2QL</v>
          </cell>
        </row>
        <row r="202">
          <cell r="I202" t="str">
            <v>ID SPPG : BQ5DIWQI</v>
          </cell>
        </row>
        <row r="203">
          <cell r="I203" t="str">
            <v>ID SPPG : O5ZKJOKB</v>
          </cell>
        </row>
        <row r="204">
          <cell r="I204" t="str">
            <v>ID SPPG : UYIXR41W</v>
          </cell>
        </row>
        <row r="205">
          <cell r="I205" t="str">
            <v>ID SPPG : ZNHFYGIA</v>
          </cell>
        </row>
        <row r="206">
          <cell r="I206" t="str">
            <v>ID SPPG : QZKNNHJY</v>
          </cell>
        </row>
        <row r="207">
          <cell r="I207" t="str">
            <v>ID SPPG : IAY1REX2</v>
          </cell>
        </row>
        <row r="208">
          <cell r="I208" t="str">
            <v>ID SPPG : Z9VA96TW</v>
          </cell>
        </row>
        <row r="209">
          <cell r="I209" t="str">
            <v>ID SPPG : TDBLZUHS</v>
          </cell>
        </row>
        <row r="210">
          <cell r="I210" t="str">
            <v>ID SPPG : Q9KN5UF7</v>
          </cell>
        </row>
        <row r="211">
          <cell r="I211" t="str">
            <v>ID SPPG : TCWAS4UD</v>
          </cell>
        </row>
        <row r="212">
          <cell r="I212" t="str">
            <v>ID SPPG : JEFOE5DS</v>
          </cell>
        </row>
        <row r="213">
          <cell r="I213" t="str">
            <v>ID SPPG : VKDNTGYP</v>
          </cell>
        </row>
        <row r="214">
          <cell r="I214" t="str">
            <v>ID SPPG : Y4Y8R45H</v>
          </cell>
        </row>
        <row r="215">
          <cell r="I215" t="str">
            <v>ID SPPG: UKDVAZY8</v>
          </cell>
        </row>
        <row r="216">
          <cell r="I216" t="str">
            <v>ID SPPG : T8AZ0MUG</v>
          </cell>
        </row>
        <row r="217">
          <cell r="I217" t="str">
            <v>ID SPPG : EB59H85C</v>
          </cell>
        </row>
        <row r="218">
          <cell r="I218" t="str">
            <v>ID SPPG : SF62AHE8</v>
          </cell>
        </row>
        <row r="219">
          <cell r="I219" t="str">
            <v>ID SPPG : GDOGKDAP</v>
          </cell>
        </row>
        <row r="220">
          <cell r="I220" t="str">
            <v>ID SPPG : 9ZHUSMXA</v>
          </cell>
        </row>
        <row r="221">
          <cell r="I221" t="str">
            <v>ID SPPG : Y4FWT4GP</v>
          </cell>
        </row>
        <row r="222">
          <cell r="I222" t="str">
            <v>ID SPPG : QJBJFQ1H</v>
          </cell>
        </row>
        <row r="223">
          <cell r="I223" t="str">
            <v>ID SPPG : WRY6G0GF</v>
          </cell>
        </row>
        <row r="224">
          <cell r="I224" t="str">
            <v>ID SPPG : QI4RDBZB</v>
          </cell>
        </row>
        <row r="225">
          <cell r="I225" t="str">
            <v>ID SPPG : 3ZFXTXJH</v>
          </cell>
        </row>
        <row r="226">
          <cell r="I226" t="str">
            <v>ID SPPG : 0V4BWOJU ·</v>
          </cell>
        </row>
        <row r="227">
          <cell r="I227" t="str">
            <v>T3PKKZ9Y</v>
          </cell>
        </row>
        <row r="228">
          <cell r="I228" t="str">
            <v>ID SPPG : QJ1PL2QL</v>
          </cell>
        </row>
        <row r="229">
          <cell r="I229" t="str">
            <v>NMKDKU3L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29"/>
  <sheetViews>
    <sheetView tabSelected="1" workbookViewId="0">
      <selection activeCell="D6" sqref="D6"/>
    </sheetView>
  </sheetViews>
  <sheetFormatPr defaultColWidth="9" defaultRowHeight="16.8"/>
  <cols>
    <col min="1" max="1" width="4.21875" customWidth="1"/>
    <col min="2" max="2" width="20.3125" style="1" customWidth="1"/>
    <col min="3" max="3" width="24.21875" style="2" customWidth="1"/>
    <col min="4" max="4" width="18.3515625" style="3" customWidth="1"/>
    <col min="5" max="5" width="33.328125" style="3" customWidth="1"/>
    <col min="6" max="6" width="16.78125" customWidth="1"/>
    <col min="7" max="7" width="14.4453125" style="4" customWidth="1"/>
    <col min="8" max="8" width="15.4453125" customWidth="1"/>
    <col min="9" max="9" width="17.5546875" customWidth="1"/>
    <col min="10" max="10" width="14.4453125" customWidth="1"/>
    <col min="11" max="11" width="26.0390625" customWidth="1"/>
  </cols>
  <sheetData>
    <row r="2" ht="17.55"/>
    <row r="3" ht="17.55" spans="1:11">
      <c r="A3" s="5" t="s">
        <v>0</v>
      </c>
      <c r="B3" s="1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</row>
    <row r="4" ht="17.55" spans="1:11">
      <c r="A4" s="7">
        <v>1</v>
      </c>
      <c r="B4" s="8" t="s">
        <v>11</v>
      </c>
      <c r="C4" s="9" t="s">
        <v>12</v>
      </c>
      <c r="D4" s="8" t="s">
        <v>13</v>
      </c>
      <c r="E4" s="8" t="str">
        <f>C4</f>
        <v>PDM Kota Serang </v>
      </c>
      <c r="F4" s="9" t="s">
        <v>14</v>
      </c>
      <c r="G4" s="33" t="s">
        <v>15</v>
      </c>
      <c r="H4" s="9" t="s">
        <v>16</v>
      </c>
      <c r="I4" s="9" t="s">
        <v>17</v>
      </c>
      <c r="J4" s="9" t="s">
        <v>18</v>
      </c>
      <c r="K4" s="8" t="s">
        <v>19</v>
      </c>
    </row>
    <row r="5" ht="17.55" spans="1:11">
      <c r="A5" s="7">
        <v>2</v>
      </c>
      <c r="B5" s="1" t="str">
        <f>RIGHT('[1]Rekap Dapur'!I5,8)</f>
        <v>DJHZ1O9D</v>
      </c>
      <c r="C5" s="9" t="s">
        <v>20</v>
      </c>
      <c r="D5" s="8" t="s">
        <v>13</v>
      </c>
      <c r="E5" s="8" t="str">
        <f t="shared" ref="E5:E68" si="0">C5</f>
        <v>PDM Kota Serang</v>
      </c>
      <c r="F5" s="9" t="s">
        <v>21</v>
      </c>
      <c r="G5" s="33" t="s">
        <v>22</v>
      </c>
      <c r="H5" s="9" t="s">
        <v>16</v>
      </c>
      <c r="I5" s="9" t="s">
        <v>17</v>
      </c>
      <c r="J5" s="9" t="s">
        <v>23</v>
      </c>
      <c r="K5" s="8" t="s">
        <v>19</v>
      </c>
    </row>
    <row r="6" ht="29.75" spans="1:11">
      <c r="A6" s="7">
        <v>3</v>
      </c>
      <c r="B6" s="1" t="str">
        <f>RIGHT('[1]Rekap Dapur'!I6,8)</f>
        <v>GHXEEHP3</v>
      </c>
      <c r="C6" s="9" t="s">
        <v>24</v>
      </c>
      <c r="D6" s="8" t="s">
        <v>25</v>
      </c>
      <c r="E6" s="8" t="str">
        <f t="shared" si="0"/>
        <v>PCA Kasihan</v>
      </c>
      <c r="F6" s="9" t="s">
        <v>26</v>
      </c>
      <c r="G6" s="33" t="s">
        <v>27</v>
      </c>
      <c r="H6" s="9" t="s">
        <v>28</v>
      </c>
      <c r="I6" s="9" t="s">
        <v>29</v>
      </c>
      <c r="J6" s="9" t="s">
        <v>30</v>
      </c>
      <c r="K6" s="8" t="s">
        <v>19</v>
      </c>
    </row>
    <row r="7" ht="29.75" spans="1:11">
      <c r="A7" s="7">
        <v>4</v>
      </c>
      <c r="B7" s="1" t="str">
        <f>RIGHT('[1]Rekap Dapur'!I7,8)</f>
        <v>WWXK9XFH</v>
      </c>
      <c r="C7" s="9" t="s">
        <v>31</v>
      </c>
      <c r="D7" s="8" t="s">
        <v>32</v>
      </c>
      <c r="E7" s="8" t="str">
        <f t="shared" si="0"/>
        <v>Madrasah Muallimin Muhammadiyah Yogyakarta</v>
      </c>
      <c r="F7" s="11" t="s">
        <v>33</v>
      </c>
      <c r="G7" s="34" t="s">
        <v>34</v>
      </c>
      <c r="H7" s="9" t="s">
        <v>28</v>
      </c>
      <c r="I7" s="9" t="s">
        <v>29</v>
      </c>
      <c r="J7" s="9" t="s">
        <v>35</v>
      </c>
      <c r="K7" s="8" t="s">
        <v>19</v>
      </c>
    </row>
    <row r="8" ht="17.55" spans="1:11">
      <c r="A8" s="7">
        <v>5</v>
      </c>
      <c r="B8" s="1" t="str">
        <f>RIGHT('[1]Rekap Dapur'!I8,8)</f>
        <v>QUQ8XS1C</v>
      </c>
      <c r="C8" s="9" t="s">
        <v>36</v>
      </c>
      <c r="D8" s="8" t="s">
        <v>37</v>
      </c>
      <c r="E8" s="8" t="str">
        <f t="shared" si="0"/>
        <v>MPM PP Muhammadiyah</v>
      </c>
      <c r="F8" s="9" t="s">
        <v>38</v>
      </c>
      <c r="G8" s="33" t="s">
        <v>39</v>
      </c>
      <c r="H8" s="9" t="s">
        <v>28</v>
      </c>
      <c r="I8" s="9" t="s">
        <v>40</v>
      </c>
      <c r="J8" s="9" t="s">
        <v>41</v>
      </c>
      <c r="K8" s="8" t="s">
        <v>19</v>
      </c>
    </row>
    <row r="9" ht="17.55" spans="1:11">
      <c r="A9" s="7">
        <v>6</v>
      </c>
      <c r="B9" s="1" t="str">
        <f>RIGHT('[1]Rekap Dapur'!I9,8)</f>
        <v>HKUDZUR0</v>
      </c>
      <c r="C9" s="9" t="s">
        <v>42</v>
      </c>
      <c r="D9" s="8" t="s">
        <v>32</v>
      </c>
      <c r="E9" s="8" t="str">
        <f t="shared" si="0"/>
        <v>PPM MBS Yogyakarta</v>
      </c>
      <c r="F9" s="11" t="s">
        <v>43</v>
      </c>
      <c r="G9" s="34" t="s">
        <v>44</v>
      </c>
      <c r="H9" s="9" t="s">
        <v>28</v>
      </c>
      <c r="I9" s="9" t="s">
        <v>40</v>
      </c>
      <c r="J9" s="9" t="s">
        <v>45</v>
      </c>
      <c r="K9" s="8" t="s">
        <v>19</v>
      </c>
    </row>
    <row r="10" ht="29.75" spans="1:11">
      <c r="A10" s="7">
        <v>7</v>
      </c>
      <c r="B10" s="1" t="str">
        <f>RIGHT('[1]Rekap Dapur'!I10,8)</f>
        <v>7QU1OXMP</v>
      </c>
      <c r="C10" s="10" t="s">
        <v>46</v>
      </c>
      <c r="D10" s="8" t="s">
        <v>47</v>
      </c>
      <c r="E10" s="8" t="str">
        <f t="shared" si="0"/>
        <v>PRM Argomulyo Barat</v>
      </c>
      <c r="F10" s="9" t="s">
        <v>48</v>
      </c>
      <c r="G10" s="33" t="s">
        <v>49</v>
      </c>
      <c r="H10" s="9" t="s">
        <v>28</v>
      </c>
      <c r="I10" s="9" t="s">
        <v>40</v>
      </c>
      <c r="J10" s="9" t="s">
        <v>50</v>
      </c>
      <c r="K10" s="8" t="s">
        <v>19</v>
      </c>
    </row>
    <row r="11" ht="17.55" spans="1:11">
      <c r="A11" s="7">
        <v>8</v>
      </c>
      <c r="B11" s="1" t="str">
        <f>RIGHT('[1]Rekap Dapur'!I11,8)</f>
        <v>QV5EOMUJ</v>
      </c>
      <c r="C11" s="9" t="s">
        <v>51</v>
      </c>
      <c r="D11" s="8" t="s">
        <v>47</v>
      </c>
      <c r="E11" s="8" t="str">
        <f t="shared" si="0"/>
        <v>PCM Pakem</v>
      </c>
      <c r="F11" s="9" t="s">
        <v>52</v>
      </c>
      <c r="G11" s="33" t="s">
        <v>53</v>
      </c>
      <c r="H11" s="9" t="s">
        <v>28</v>
      </c>
      <c r="I11" s="9" t="s">
        <v>40</v>
      </c>
      <c r="J11" s="9" t="s">
        <v>54</v>
      </c>
      <c r="K11" s="8" t="s">
        <v>19</v>
      </c>
    </row>
    <row r="12" ht="29.75" spans="1:11">
      <c r="A12" s="7">
        <v>9</v>
      </c>
      <c r="B12" s="1" t="str">
        <f>RIGHT('[1]Rekap Dapur'!I12,8)</f>
        <v>ZVEDOWH8</v>
      </c>
      <c r="C12" s="9" t="s">
        <v>55</v>
      </c>
      <c r="D12" s="8" t="s">
        <v>56</v>
      </c>
      <c r="E12" s="8" t="str">
        <f t="shared" si="0"/>
        <v>UNISA Yogyakarta</v>
      </c>
      <c r="F12" s="9" t="s">
        <v>57</v>
      </c>
      <c r="G12" s="33" t="s">
        <v>58</v>
      </c>
      <c r="H12" s="9" t="s">
        <v>28</v>
      </c>
      <c r="I12" s="9" t="s">
        <v>59</v>
      </c>
      <c r="J12" s="9" t="s">
        <v>60</v>
      </c>
      <c r="K12" s="8" t="s">
        <v>19</v>
      </c>
    </row>
    <row r="13" ht="17.55" spans="1:11">
      <c r="A13" s="7">
        <v>10</v>
      </c>
      <c r="B13" s="1" t="str">
        <f>RIGHT('[1]Rekap Dapur'!I13,8)</f>
        <v>VEKDV3E1</v>
      </c>
      <c r="C13" s="10" t="s">
        <v>61</v>
      </c>
      <c r="D13" s="8" t="s">
        <v>13</v>
      </c>
      <c r="E13" s="8" t="str">
        <f t="shared" si="0"/>
        <v>PDM Ciamis</v>
      </c>
      <c r="F13" s="11" t="s">
        <v>62</v>
      </c>
      <c r="G13" s="34" t="s">
        <v>63</v>
      </c>
      <c r="H13" s="9" t="s">
        <v>64</v>
      </c>
      <c r="I13" s="9" t="s">
        <v>65</v>
      </c>
      <c r="J13" s="9" t="s">
        <v>66</v>
      </c>
      <c r="K13" s="8" t="s">
        <v>19</v>
      </c>
    </row>
    <row r="14" ht="17.55" spans="1:11">
      <c r="A14" s="7">
        <v>11</v>
      </c>
      <c r="B14" s="1" t="str">
        <f>RIGHT('[1]Rekap Dapur'!I14,8)</f>
        <v>6EKMQEEM</v>
      </c>
      <c r="C14" s="9" t="s">
        <v>67</v>
      </c>
      <c r="D14" s="8" t="s">
        <v>13</v>
      </c>
      <c r="E14" s="8" t="str">
        <f t="shared" si="0"/>
        <v>PDM Cianjur</v>
      </c>
      <c r="F14" s="9" t="s">
        <v>68</v>
      </c>
      <c r="G14" s="33" t="s">
        <v>69</v>
      </c>
      <c r="H14" s="9" t="s">
        <v>64</v>
      </c>
      <c r="I14" s="9" t="s">
        <v>70</v>
      </c>
      <c r="J14" s="9" t="s">
        <v>71</v>
      </c>
      <c r="K14" s="8" t="s">
        <v>19</v>
      </c>
    </row>
    <row r="15" ht="29.75" spans="1:11">
      <c r="A15" s="7">
        <v>12</v>
      </c>
      <c r="B15" s="1" t="str">
        <f>RIGHT('[1]Rekap Dapur'!I15,8)</f>
        <v>NZ3HPLZ5</v>
      </c>
      <c r="C15" s="9" t="s">
        <v>72</v>
      </c>
      <c r="D15" s="8" t="s">
        <v>32</v>
      </c>
      <c r="E15" s="8" t="str">
        <f t="shared" si="0"/>
        <v>Pondok Pesantren Darul Arqam Muhammadiyah Garut</v>
      </c>
      <c r="F15" s="9" t="s">
        <v>73</v>
      </c>
      <c r="G15" s="33" t="s">
        <v>74</v>
      </c>
      <c r="H15" s="9" t="s">
        <v>64</v>
      </c>
      <c r="I15" s="9" t="s">
        <v>75</v>
      </c>
      <c r="J15" s="9" t="s">
        <v>76</v>
      </c>
      <c r="K15" s="8" t="s">
        <v>19</v>
      </c>
    </row>
    <row r="16" ht="17.55" spans="1:11">
      <c r="A16" s="7">
        <v>13</v>
      </c>
      <c r="B16" s="1" t="str">
        <f>RIGHT('[1]Rekap Dapur'!I16,8)</f>
        <v>5TSTU6OU</v>
      </c>
      <c r="C16" s="9" t="s">
        <v>77</v>
      </c>
      <c r="D16" s="8" t="s">
        <v>47</v>
      </c>
      <c r="E16" s="8" t="str">
        <f t="shared" si="0"/>
        <v>SD Muhammadiyah Ciwahang</v>
      </c>
      <c r="F16" s="9" t="s">
        <v>78</v>
      </c>
      <c r="G16" s="33" t="s">
        <v>79</v>
      </c>
      <c r="H16" s="9" t="s">
        <v>64</v>
      </c>
      <c r="I16" s="9" t="s">
        <v>75</v>
      </c>
      <c r="J16" s="9" t="s">
        <v>80</v>
      </c>
      <c r="K16" s="8" t="s">
        <v>19</v>
      </c>
    </row>
    <row r="17" ht="17.55" spans="1:11">
      <c r="A17" s="7">
        <v>14</v>
      </c>
      <c r="B17" s="1" t="str">
        <f>RIGHT('[1]Rekap Dapur'!I17,8)</f>
        <v>CNLRIE73</v>
      </c>
      <c r="C17" s="9" t="s">
        <v>81</v>
      </c>
      <c r="D17" s="8" t="s">
        <v>47</v>
      </c>
      <c r="E17" s="8" t="str">
        <f t="shared" si="0"/>
        <v>SMP Muhammadiyah Garut</v>
      </c>
      <c r="F17" s="9" t="s">
        <v>82</v>
      </c>
      <c r="G17" s="33" t="s">
        <v>83</v>
      </c>
      <c r="H17" s="9" t="s">
        <v>64</v>
      </c>
      <c r="I17" s="9" t="s">
        <v>75</v>
      </c>
      <c r="J17" s="9" t="s">
        <v>84</v>
      </c>
      <c r="K17" s="8" t="s">
        <v>19</v>
      </c>
    </row>
    <row r="18" ht="29.75" spans="1:11">
      <c r="A18" s="7">
        <v>15</v>
      </c>
      <c r="B18" s="1" t="str">
        <f>RIGHT('[1]Rekap Dapur'!I18,8)</f>
        <v>VTE8R5X8</v>
      </c>
      <c r="C18" s="9" t="s">
        <v>85</v>
      </c>
      <c r="D18" s="8" t="s">
        <v>47</v>
      </c>
      <c r="E18" s="8" t="str">
        <f t="shared" si="0"/>
        <v>MTs. Baitur Rohmah Muhammadiyah</v>
      </c>
      <c r="F18" s="9" t="s">
        <v>86</v>
      </c>
      <c r="G18" s="33" t="s">
        <v>87</v>
      </c>
      <c r="H18" s="9" t="s">
        <v>64</v>
      </c>
      <c r="I18" s="9" t="s">
        <v>75</v>
      </c>
      <c r="J18" s="9" t="s">
        <v>88</v>
      </c>
      <c r="K18" s="8" t="s">
        <v>19</v>
      </c>
    </row>
    <row r="19" ht="29.75" spans="1:11">
      <c r="A19" s="7">
        <v>16</v>
      </c>
      <c r="B19" s="1" t="str">
        <f>RIGHT('[1]Rekap Dapur'!I19,8)</f>
        <v>AZ8SZTWU</v>
      </c>
      <c r="C19" s="9" t="s">
        <v>89</v>
      </c>
      <c r="D19" s="8" t="s">
        <v>47</v>
      </c>
      <c r="E19" s="8" t="str">
        <f t="shared" si="0"/>
        <v>SMP Al Madinah Muhammadiyah Cibatu</v>
      </c>
      <c r="F19" s="9" t="s">
        <v>90</v>
      </c>
      <c r="G19" s="33" t="s">
        <v>91</v>
      </c>
      <c r="H19" s="9" t="s">
        <v>64</v>
      </c>
      <c r="I19" s="9" t="s">
        <v>75</v>
      </c>
      <c r="J19" s="9" t="s">
        <v>92</v>
      </c>
      <c r="K19" s="8" t="s">
        <v>19</v>
      </c>
    </row>
    <row r="20" ht="17.55" spans="1:11">
      <c r="A20" s="7">
        <v>17</v>
      </c>
      <c r="B20" s="1" t="str">
        <f>RIGHT('[1]Rekap Dapur'!I20,8)</f>
        <v>WVBZF10M</v>
      </c>
      <c r="C20" s="9" t="s">
        <v>93</v>
      </c>
      <c r="D20" s="8" t="s">
        <v>47</v>
      </c>
      <c r="E20" s="8" t="str">
        <f t="shared" si="0"/>
        <v>SMK Muhammadiyah 1 Sumedang</v>
      </c>
      <c r="F20" s="9" t="s">
        <v>94</v>
      </c>
      <c r="G20" s="33" t="s">
        <v>95</v>
      </c>
      <c r="H20" s="9" t="s">
        <v>64</v>
      </c>
      <c r="I20" s="9" t="s">
        <v>96</v>
      </c>
      <c r="J20" s="9" t="s">
        <v>97</v>
      </c>
      <c r="K20" s="8" t="s">
        <v>19</v>
      </c>
    </row>
    <row r="21" ht="17.55" spans="1:11">
      <c r="A21" s="7">
        <v>18</v>
      </c>
      <c r="B21" s="1" t="str">
        <f>RIGHT('[1]Rekap Dapur'!I21,8)</f>
        <v>AVCZZUCN</v>
      </c>
      <c r="C21" s="9" t="s">
        <v>98</v>
      </c>
      <c r="D21" s="8" t="s">
        <v>47</v>
      </c>
      <c r="E21" s="8" t="str">
        <f t="shared" si="0"/>
        <v>MTs. Muhammadiyah Babakanloa</v>
      </c>
      <c r="F21" s="9" t="s">
        <v>99</v>
      </c>
      <c r="G21" s="33" t="s">
        <v>100</v>
      </c>
      <c r="H21" s="9" t="s">
        <v>64</v>
      </c>
      <c r="I21" s="9" t="s">
        <v>96</v>
      </c>
      <c r="J21" s="9" t="s">
        <v>96</v>
      </c>
      <c r="K21" s="8" t="s">
        <v>19</v>
      </c>
    </row>
    <row r="22" ht="17.55" spans="1:11">
      <c r="A22" s="7">
        <v>19</v>
      </c>
      <c r="B22" s="1" t="str">
        <f>RIGHT('[1]Rekap Dapur'!I22,8)</f>
        <v>9Z9UWQ1T</v>
      </c>
      <c r="C22" s="9" t="s">
        <v>101</v>
      </c>
      <c r="D22" s="8" t="s">
        <v>47</v>
      </c>
      <c r="E22" s="8" t="str">
        <f t="shared" si="0"/>
        <v>SMP Muhammadiyah 8 Bandung</v>
      </c>
      <c r="F22" s="9" t="s">
        <v>102</v>
      </c>
      <c r="G22" s="33" t="s">
        <v>103</v>
      </c>
      <c r="H22" s="9" t="s">
        <v>64</v>
      </c>
      <c r="I22" s="9" t="s">
        <v>104</v>
      </c>
      <c r="J22" s="9" t="s">
        <v>105</v>
      </c>
      <c r="K22" s="8" t="s">
        <v>19</v>
      </c>
    </row>
    <row r="23" ht="17.55" spans="1:11">
      <c r="A23" s="7">
        <v>20</v>
      </c>
      <c r="B23" s="1" t="str">
        <f>RIGHT('[1]Rekap Dapur'!I23,8)</f>
        <v>ZUQVDVXT</v>
      </c>
      <c r="C23" s="9" t="s">
        <v>106</v>
      </c>
      <c r="D23" s="8" t="s">
        <v>47</v>
      </c>
      <c r="E23" s="8" t="str">
        <f t="shared" si="0"/>
        <v>SMP Muhammadiyah 6 Bandung</v>
      </c>
      <c r="F23" s="9" t="s">
        <v>107</v>
      </c>
      <c r="G23" s="33" t="s">
        <v>108</v>
      </c>
      <c r="H23" s="9" t="s">
        <v>64</v>
      </c>
      <c r="I23" s="9" t="s">
        <v>104</v>
      </c>
      <c r="J23" s="9" t="s">
        <v>109</v>
      </c>
      <c r="K23" s="8" t="s">
        <v>19</v>
      </c>
    </row>
    <row r="24" ht="17.55" spans="1:11">
      <c r="A24" s="7">
        <v>21</v>
      </c>
      <c r="B24" s="1" t="str">
        <f>RIGHT('[1]Rekap Dapur'!I24,8)</f>
        <v>Y3LOJSGO</v>
      </c>
      <c r="C24" s="9" t="s">
        <v>110</v>
      </c>
      <c r="D24" s="8" t="s">
        <v>47</v>
      </c>
      <c r="E24" s="8" t="str">
        <f t="shared" si="0"/>
        <v>SMK Muhammadiyah 1 Bandung</v>
      </c>
      <c r="F24" s="9" t="s">
        <v>111</v>
      </c>
      <c r="G24" s="33" t="s">
        <v>112</v>
      </c>
      <c r="H24" s="9" t="s">
        <v>64</v>
      </c>
      <c r="I24" s="9" t="s">
        <v>104</v>
      </c>
      <c r="J24" s="9" t="s">
        <v>113</v>
      </c>
      <c r="K24" s="8" t="s">
        <v>19</v>
      </c>
    </row>
    <row r="25" ht="17.55" spans="1:11">
      <c r="A25" s="7">
        <v>22</v>
      </c>
      <c r="B25" s="1" t="str">
        <f>RIGHT('[1]Rekap Dapur'!I25,8)</f>
        <v>QZNJRY5K</v>
      </c>
      <c r="C25" s="9" t="s">
        <v>114</v>
      </c>
      <c r="D25" s="8" t="s">
        <v>13</v>
      </c>
      <c r="E25" s="8" t="str">
        <f t="shared" si="0"/>
        <v>PDM Banjarnegara</v>
      </c>
      <c r="F25" s="9" t="s">
        <v>115</v>
      </c>
      <c r="G25" s="33" t="s">
        <v>116</v>
      </c>
      <c r="H25" s="9" t="s">
        <v>117</v>
      </c>
      <c r="I25" s="9" t="s">
        <v>118</v>
      </c>
      <c r="J25" s="9" t="s">
        <v>119</v>
      </c>
      <c r="K25" s="8" t="s">
        <v>19</v>
      </c>
    </row>
    <row r="26" ht="17.55" spans="1:11">
      <c r="A26" s="7">
        <v>23</v>
      </c>
      <c r="B26" s="1" t="str">
        <f>RIGHT('[1]Rekap Dapur'!I26,8)</f>
        <v>IDEKWKMM</v>
      </c>
      <c r="C26" s="9" t="s">
        <v>114</v>
      </c>
      <c r="D26" s="8" t="s">
        <v>13</v>
      </c>
      <c r="E26" s="8" t="str">
        <f t="shared" si="0"/>
        <v>PDM Banjarnegara</v>
      </c>
      <c r="F26" s="9" t="s">
        <v>120</v>
      </c>
      <c r="G26" s="33" t="s">
        <v>121</v>
      </c>
      <c r="H26" s="9" t="s">
        <v>117</v>
      </c>
      <c r="I26" s="9" t="s">
        <v>118</v>
      </c>
      <c r="J26" s="9" t="s">
        <v>122</v>
      </c>
      <c r="K26" s="8" t="s">
        <v>19</v>
      </c>
    </row>
    <row r="27" ht="29.75" spans="1:11">
      <c r="A27" s="7">
        <v>24</v>
      </c>
      <c r="B27" s="1" t="str">
        <f>RIGHT('[1]Rekap Dapur'!I27,8)</f>
        <v>4SGYSDKU</v>
      </c>
      <c r="C27" s="9" t="s">
        <v>114</v>
      </c>
      <c r="D27" s="8" t="s">
        <v>13</v>
      </c>
      <c r="E27" s="8" t="str">
        <f t="shared" si="0"/>
        <v>PDM Banjarnegara</v>
      </c>
      <c r="F27" s="9" t="s">
        <v>123</v>
      </c>
      <c r="G27" s="33" t="s">
        <v>124</v>
      </c>
      <c r="H27" s="9" t="s">
        <v>117</v>
      </c>
      <c r="I27" s="9" t="s">
        <v>118</v>
      </c>
      <c r="J27" s="9" t="s">
        <v>125</v>
      </c>
      <c r="K27" s="8" t="s">
        <v>19</v>
      </c>
    </row>
    <row r="28" ht="29.75" spans="1:11">
      <c r="A28" s="7">
        <v>25</v>
      </c>
      <c r="B28" s="1" t="str">
        <f>RIGHT('[1]Rekap Dapur'!I28,8)</f>
        <v>FUOH5QS6</v>
      </c>
      <c r="C28" s="9" t="s">
        <v>126</v>
      </c>
      <c r="D28" s="8" t="s">
        <v>47</v>
      </c>
      <c r="E28" s="8" t="str">
        <f t="shared" si="0"/>
        <v>SD Muhammadiyah Ketanggungan</v>
      </c>
      <c r="F28" s="9" t="s">
        <v>127</v>
      </c>
      <c r="G28" s="33" t="s">
        <v>128</v>
      </c>
      <c r="H28" s="9" t="s">
        <v>117</v>
      </c>
      <c r="I28" s="9" t="s">
        <v>129</v>
      </c>
      <c r="J28" s="9" t="s">
        <v>130</v>
      </c>
      <c r="K28" s="8" t="s">
        <v>19</v>
      </c>
    </row>
    <row r="29" ht="17.55" spans="1:11">
      <c r="A29" s="7">
        <v>26</v>
      </c>
      <c r="B29" s="1" t="str">
        <f>RIGHT('[1]Rekap Dapur'!I29,8)</f>
        <v>KBO6YNEA</v>
      </c>
      <c r="C29" s="10" t="s">
        <v>131</v>
      </c>
      <c r="D29" s="8" t="s">
        <v>13</v>
      </c>
      <c r="E29" s="8" t="str">
        <f t="shared" si="0"/>
        <v>PDM Grobogan</v>
      </c>
      <c r="F29" s="9" t="s">
        <v>132</v>
      </c>
      <c r="G29" s="33" t="s">
        <v>133</v>
      </c>
      <c r="H29" s="9" t="s">
        <v>117</v>
      </c>
      <c r="I29" s="9" t="s">
        <v>134</v>
      </c>
      <c r="J29" s="9" t="s">
        <v>135</v>
      </c>
      <c r="K29" s="8" t="s">
        <v>19</v>
      </c>
    </row>
    <row r="30" ht="17.55" spans="1:11">
      <c r="A30" s="7">
        <v>27</v>
      </c>
      <c r="B30" s="1" t="str">
        <f>RIGHT('[1]Rekap Dapur'!I30,8)</f>
        <v>1XSVISIJ</v>
      </c>
      <c r="C30" s="10" t="s">
        <v>131</v>
      </c>
      <c r="D30" s="8" t="s">
        <v>13</v>
      </c>
      <c r="E30" s="8" t="str">
        <f t="shared" si="0"/>
        <v>PDM Grobogan</v>
      </c>
      <c r="F30" s="9" t="s">
        <v>136</v>
      </c>
      <c r="G30" s="33" t="s">
        <v>137</v>
      </c>
      <c r="H30" s="9" t="s">
        <v>117</v>
      </c>
      <c r="I30" s="9" t="s">
        <v>134</v>
      </c>
      <c r="J30" s="9" t="s">
        <v>138</v>
      </c>
      <c r="K30" s="8" t="s">
        <v>19</v>
      </c>
    </row>
    <row r="31" ht="17.55" spans="1:11">
      <c r="A31" s="7">
        <v>28</v>
      </c>
      <c r="B31" s="1" t="str">
        <f>RIGHT('[1]Rekap Dapur'!I31,8)</f>
        <v>QMTHFJVZ</v>
      </c>
      <c r="C31" s="9" t="s">
        <v>139</v>
      </c>
      <c r="D31" s="8" t="s">
        <v>13</v>
      </c>
      <c r="E31" s="8" t="str">
        <f t="shared" si="0"/>
        <v>PDM Jepara</v>
      </c>
      <c r="F31" s="9" t="s">
        <v>140</v>
      </c>
      <c r="G31" s="33" t="s">
        <v>141</v>
      </c>
      <c r="H31" s="9" t="s">
        <v>117</v>
      </c>
      <c r="I31" s="9" t="s">
        <v>142</v>
      </c>
      <c r="J31" s="9" t="s">
        <v>143</v>
      </c>
      <c r="K31" s="8" t="s">
        <v>19</v>
      </c>
    </row>
    <row r="32" ht="17.55" spans="1:11">
      <c r="A32" s="7">
        <v>29</v>
      </c>
      <c r="B32" s="1" t="str">
        <f>RIGHT('[1]Rekap Dapur'!I32,8)</f>
        <v>OMTPS7IC</v>
      </c>
      <c r="C32" s="9" t="s">
        <v>144</v>
      </c>
      <c r="D32" s="8" t="s">
        <v>145</v>
      </c>
      <c r="E32" s="8" t="str">
        <f t="shared" si="0"/>
        <v>PRM Kuanyar</v>
      </c>
      <c r="F32" s="9" t="s">
        <v>146</v>
      </c>
      <c r="G32" s="33" t="s">
        <v>147</v>
      </c>
      <c r="H32" s="9" t="s">
        <v>117</v>
      </c>
      <c r="I32" s="9" t="s">
        <v>142</v>
      </c>
      <c r="J32" s="9" t="s">
        <v>143</v>
      </c>
      <c r="K32" s="8" t="s">
        <v>19</v>
      </c>
    </row>
    <row r="33" ht="17.55" spans="1:11">
      <c r="A33" s="7">
        <v>30</v>
      </c>
      <c r="B33" s="1" t="str">
        <f>RIGHT('[1]Rekap Dapur'!I33,8)</f>
        <v>LK8V8NGK</v>
      </c>
      <c r="C33" s="9" t="s">
        <v>148</v>
      </c>
      <c r="D33" s="8" t="s">
        <v>149</v>
      </c>
      <c r="E33" s="8" t="str">
        <f t="shared" si="0"/>
        <v>PCM DUKUN</v>
      </c>
      <c r="F33" s="9" t="s">
        <v>150</v>
      </c>
      <c r="G33" s="33" t="s">
        <v>151</v>
      </c>
      <c r="H33" s="9" t="s">
        <v>117</v>
      </c>
      <c r="I33" s="9" t="s">
        <v>152</v>
      </c>
      <c r="J33" s="9" t="s">
        <v>153</v>
      </c>
      <c r="K33" s="8" t="s">
        <v>19</v>
      </c>
    </row>
    <row r="34" ht="17.55" spans="1:11">
      <c r="A34" s="7">
        <v>31</v>
      </c>
      <c r="B34" s="1" t="str">
        <f>RIGHT('[1]Rekap Dapur'!I34,8)</f>
        <v>SQ1BF5CP</v>
      </c>
      <c r="C34" s="10" t="s">
        <v>154</v>
      </c>
      <c r="D34" s="8" t="s">
        <v>13</v>
      </c>
      <c r="E34" s="8" t="str">
        <f t="shared" si="0"/>
        <v>PDM Semarang</v>
      </c>
      <c r="F34" s="9" t="s">
        <v>155</v>
      </c>
      <c r="G34" s="33" t="s">
        <v>156</v>
      </c>
      <c r="H34" s="9" t="s">
        <v>117</v>
      </c>
      <c r="I34" s="9" t="s">
        <v>157</v>
      </c>
      <c r="J34" s="9" t="s">
        <v>158</v>
      </c>
      <c r="K34" s="8" t="s">
        <v>19</v>
      </c>
    </row>
    <row r="35" ht="17.55" spans="1:11">
      <c r="A35" s="7">
        <v>32</v>
      </c>
      <c r="B35" s="1" t="str">
        <f>RIGHT('[1]Rekap Dapur'!I35,8)</f>
        <v>TV9IBAEP</v>
      </c>
      <c r="C35" s="10" t="s">
        <v>154</v>
      </c>
      <c r="D35" s="8" t="s">
        <v>13</v>
      </c>
      <c r="E35" s="8" t="str">
        <f t="shared" si="0"/>
        <v>PDM Semarang</v>
      </c>
      <c r="F35" s="9" t="s">
        <v>159</v>
      </c>
      <c r="G35" s="33" t="s">
        <v>160</v>
      </c>
      <c r="H35" s="9" t="s">
        <v>117</v>
      </c>
      <c r="I35" s="9" t="s">
        <v>161</v>
      </c>
      <c r="J35" s="9" t="s">
        <v>162</v>
      </c>
      <c r="K35" s="8" t="s">
        <v>19</v>
      </c>
    </row>
    <row r="36" ht="29.75" spans="1:11">
      <c r="A36" s="7">
        <v>33</v>
      </c>
      <c r="B36" s="1" t="str">
        <f>RIGHT('[1]Rekap Dapur'!I36,8)</f>
        <v>KTWXUWJD</v>
      </c>
      <c r="C36" s="10" t="s">
        <v>163</v>
      </c>
      <c r="D36" s="8" t="s">
        <v>47</v>
      </c>
      <c r="E36" s="8" t="str">
        <f t="shared" si="0"/>
        <v>PDM Karanganyar</v>
      </c>
      <c r="F36" s="9" t="s">
        <v>164</v>
      </c>
      <c r="G36" s="33" t="s">
        <v>165</v>
      </c>
      <c r="H36" s="9" t="s">
        <v>117</v>
      </c>
      <c r="I36" s="9" t="s">
        <v>166</v>
      </c>
      <c r="J36" s="9" t="s">
        <v>166</v>
      </c>
      <c r="K36" s="8" t="s">
        <v>19</v>
      </c>
    </row>
    <row r="37" ht="29.75" spans="1:11">
      <c r="A37" s="7">
        <v>34</v>
      </c>
      <c r="B37" s="1" t="str">
        <f>RIGHT('[1]Rekap Dapur'!I37,8)</f>
        <v>VAO5XN5A</v>
      </c>
      <c r="C37" s="10" t="s">
        <v>163</v>
      </c>
      <c r="D37" s="8" t="s">
        <v>47</v>
      </c>
      <c r="E37" s="8" t="str">
        <f t="shared" si="0"/>
        <v>PDM Karanganyar</v>
      </c>
      <c r="F37" s="9" t="s">
        <v>167</v>
      </c>
      <c r="G37" s="33" t="s">
        <v>168</v>
      </c>
      <c r="H37" s="9" t="s">
        <v>117</v>
      </c>
      <c r="I37" s="9" t="s">
        <v>166</v>
      </c>
      <c r="J37" s="9" t="s">
        <v>166</v>
      </c>
      <c r="K37" s="8" t="s">
        <v>19</v>
      </c>
    </row>
    <row r="38" ht="29.75" spans="1:11">
      <c r="A38" s="7">
        <v>35</v>
      </c>
      <c r="B38" s="1" t="str">
        <f>RIGHT('[1]Rekap Dapur'!I38,8)</f>
        <v>ZJXFUNNU</v>
      </c>
      <c r="C38" s="9" t="s">
        <v>169</v>
      </c>
      <c r="D38" s="8" t="s">
        <v>56</v>
      </c>
      <c r="E38" s="8" t="str">
        <f t="shared" si="0"/>
        <v>Universitas Muhammadiyah Surakarta</v>
      </c>
      <c r="F38" s="9" t="s">
        <v>170</v>
      </c>
      <c r="G38" s="33" t="s">
        <v>171</v>
      </c>
      <c r="H38" s="9" t="s">
        <v>117</v>
      </c>
      <c r="I38" s="9" t="s">
        <v>172</v>
      </c>
      <c r="J38" s="9" t="s">
        <v>173</v>
      </c>
      <c r="K38" s="8" t="s">
        <v>19</v>
      </c>
    </row>
    <row r="39" ht="29.75" spans="1:11">
      <c r="A39" s="7">
        <v>36</v>
      </c>
      <c r="B39" s="1" t="str">
        <f>RIGHT('[1]Rekap Dapur'!I39,8)</f>
        <v>WRYRFGVN</v>
      </c>
      <c r="C39" s="9" t="s">
        <v>174</v>
      </c>
      <c r="D39" s="8" t="s">
        <v>13</v>
      </c>
      <c r="E39" s="8" t="str">
        <f t="shared" si="0"/>
        <v>PDM Kudus</v>
      </c>
      <c r="F39" s="9" t="s">
        <v>175</v>
      </c>
      <c r="G39" s="33" t="s">
        <v>176</v>
      </c>
      <c r="H39" s="9" t="s">
        <v>117</v>
      </c>
      <c r="I39" s="9" t="s">
        <v>177</v>
      </c>
      <c r="J39" s="9" t="s">
        <v>178</v>
      </c>
      <c r="K39" s="8" t="s">
        <v>19</v>
      </c>
    </row>
    <row r="40" ht="29.75" spans="1:11">
      <c r="A40" s="7">
        <v>37</v>
      </c>
      <c r="B40" s="1" t="str">
        <f>RIGHT('[1]Rekap Dapur'!I40,8)</f>
        <v>I3CCF4RO</v>
      </c>
      <c r="C40" s="9" t="s">
        <v>174</v>
      </c>
      <c r="D40" s="8" t="s">
        <v>13</v>
      </c>
      <c r="E40" s="8" t="str">
        <f t="shared" si="0"/>
        <v>PDM Kudus</v>
      </c>
      <c r="F40" s="9" t="s">
        <v>179</v>
      </c>
      <c r="G40" s="33" t="s">
        <v>180</v>
      </c>
      <c r="H40" s="9" t="s">
        <v>117</v>
      </c>
      <c r="I40" s="9" t="s">
        <v>177</v>
      </c>
      <c r="J40" s="9" t="s">
        <v>178</v>
      </c>
      <c r="K40" s="8" t="s">
        <v>19</v>
      </c>
    </row>
    <row r="41" ht="17.55" spans="1:11">
      <c r="A41" s="7">
        <v>38</v>
      </c>
      <c r="B41" s="1" t="str">
        <f>RIGHT('[1]Rekap Dapur'!I41,8)</f>
        <v>CS35EQNV</v>
      </c>
      <c r="C41" s="9" t="s">
        <v>174</v>
      </c>
      <c r="D41" s="8" t="s">
        <v>13</v>
      </c>
      <c r="E41" s="8" t="str">
        <f t="shared" si="0"/>
        <v>PDM Kudus</v>
      </c>
      <c r="F41" s="9" t="s">
        <v>181</v>
      </c>
      <c r="G41" s="33" t="s">
        <v>182</v>
      </c>
      <c r="H41" s="9" t="s">
        <v>117</v>
      </c>
      <c r="I41" s="9" t="s">
        <v>177</v>
      </c>
      <c r="J41" s="9" t="s">
        <v>183</v>
      </c>
      <c r="K41" s="8" t="s">
        <v>19</v>
      </c>
    </row>
    <row r="42" ht="29.75" spans="1:11">
      <c r="A42" s="7">
        <v>39</v>
      </c>
      <c r="B42" s="1" t="str">
        <f>RIGHT('[1]Rekap Dapur'!I42,8)</f>
        <v>OPZ2XSWY</v>
      </c>
      <c r="C42" s="9" t="s">
        <v>184</v>
      </c>
      <c r="D42" s="8" t="s">
        <v>47</v>
      </c>
      <c r="E42" s="8" t="str">
        <f t="shared" si="0"/>
        <v>SMK Muhammadiyah 2 Mertoyudan</v>
      </c>
      <c r="F42" s="9" t="s">
        <v>185</v>
      </c>
      <c r="G42" s="33" t="s">
        <v>186</v>
      </c>
      <c r="H42" s="9" t="s">
        <v>117</v>
      </c>
      <c r="I42" s="9" t="s">
        <v>187</v>
      </c>
      <c r="J42" s="9" t="s">
        <v>188</v>
      </c>
      <c r="K42" s="8" t="s">
        <v>19</v>
      </c>
    </row>
    <row r="43" ht="17.55" spans="1:11">
      <c r="A43" s="7">
        <v>40</v>
      </c>
      <c r="B43" s="1" t="str">
        <f>RIGHT('[1]Rekap Dapur'!I43,8)</f>
        <v>QM5DPYYJ</v>
      </c>
      <c r="C43" s="9" t="s">
        <v>36</v>
      </c>
      <c r="D43" s="8" t="s">
        <v>37</v>
      </c>
      <c r="E43" s="8" t="str">
        <f t="shared" si="0"/>
        <v>MPM PP Muhammadiyah</v>
      </c>
      <c r="F43" s="9" t="s">
        <v>189</v>
      </c>
      <c r="G43" s="33" t="s">
        <v>190</v>
      </c>
      <c r="H43" s="9" t="s">
        <v>117</v>
      </c>
      <c r="I43" s="9" t="s">
        <v>191</v>
      </c>
      <c r="J43" s="9" t="s">
        <v>192</v>
      </c>
      <c r="K43" s="8" t="s">
        <v>19</v>
      </c>
    </row>
    <row r="44" ht="17.55" spans="1:11">
      <c r="A44" s="7">
        <v>41</v>
      </c>
      <c r="B44" s="1" t="str">
        <f>RIGHT('[1]Rekap Dapur'!I44,8)</f>
        <v>X8LIDULN</v>
      </c>
      <c r="C44" s="10" t="s">
        <v>193</v>
      </c>
      <c r="D44" s="8" t="s">
        <v>32</v>
      </c>
      <c r="E44" s="8" t="str">
        <f t="shared" si="0"/>
        <v>PCM Moga</v>
      </c>
      <c r="F44" s="9" t="s">
        <v>194</v>
      </c>
      <c r="G44" s="33" t="s">
        <v>195</v>
      </c>
      <c r="H44" s="9" t="s">
        <v>117</v>
      </c>
      <c r="I44" s="9" t="s">
        <v>196</v>
      </c>
      <c r="J44" s="9" t="s">
        <v>197</v>
      </c>
      <c r="K44" s="8" t="s">
        <v>19</v>
      </c>
    </row>
    <row r="45" ht="17.55" spans="1:11">
      <c r="A45" s="7">
        <v>42</v>
      </c>
      <c r="B45" s="1" t="str">
        <f>RIGHT('[1]Rekap Dapur'!I45,8)</f>
        <v>DY8TZXC9</v>
      </c>
      <c r="C45" s="10" t="s">
        <v>198</v>
      </c>
      <c r="D45" s="8" t="s">
        <v>32</v>
      </c>
      <c r="E45" s="8" t="str">
        <f t="shared" si="0"/>
        <v>PDM Pemalang</v>
      </c>
      <c r="F45" s="9" t="s">
        <v>199</v>
      </c>
      <c r="G45" s="33" t="s">
        <v>200</v>
      </c>
      <c r="H45" s="9" t="s">
        <v>117</v>
      </c>
      <c r="I45" s="9" t="s">
        <v>196</v>
      </c>
      <c r="J45" s="9" t="s">
        <v>196</v>
      </c>
      <c r="K45" s="8" t="s">
        <v>19</v>
      </c>
    </row>
    <row r="46" ht="17.55" spans="1:11">
      <c r="A46" s="7">
        <v>43</v>
      </c>
      <c r="B46" s="1" t="str">
        <f>RIGHT('[1]Rekap Dapur'!I46,8)</f>
        <v>EH5B3ODI</v>
      </c>
      <c r="C46" s="9" t="s">
        <v>36</v>
      </c>
      <c r="D46" s="8" t="s">
        <v>37</v>
      </c>
      <c r="E46" s="8" t="str">
        <f t="shared" si="0"/>
        <v>MPM PP Muhammadiyah</v>
      </c>
      <c r="F46" s="9" t="s">
        <v>201</v>
      </c>
      <c r="G46" s="33" t="s">
        <v>202</v>
      </c>
      <c r="H46" s="9" t="s">
        <v>117</v>
      </c>
      <c r="I46" s="9" t="s">
        <v>203</v>
      </c>
      <c r="J46" s="9" t="s">
        <v>204</v>
      </c>
      <c r="K46" s="8" t="s">
        <v>19</v>
      </c>
    </row>
    <row r="47" ht="17.55" spans="1:11">
      <c r="A47" s="7">
        <v>44</v>
      </c>
      <c r="B47" s="1" t="str">
        <f>RIGHT('[1]Rekap Dapur'!I47,8)</f>
        <v>4RNZFLNQ</v>
      </c>
      <c r="C47" s="10" t="s">
        <v>154</v>
      </c>
      <c r="D47" s="8" t="s">
        <v>13</v>
      </c>
      <c r="E47" s="8" t="str">
        <f t="shared" si="0"/>
        <v>PDM Semarang</v>
      </c>
      <c r="F47" s="9" t="s">
        <v>205</v>
      </c>
      <c r="G47" s="33" t="s">
        <v>206</v>
      </c>
      <c r="H47" s="9" t="s">
        <v>117</v>
      </c>
      <c r="I47" s="9" t="s">
        <v>207</v>
      </c>
      <c r="J47" s="9" t="s">
        <v>208</v>
      </c>
      <c r="K47" s="8" t="s">
        <v>19</v>
      </c>
    </row>
    <row r="48" ht="29.75" spans="1:11">
      <c r="A48" s="7">
        <v>45</v>
      </c>
      <c r="B48" s="1" t="str">
        <f>RIGHT('[1]Rekap Dapur'!I48,8)</f>
        <v>C76FVXJX</v>
      </c>
      <c r="C48" s="10" t="s">
        <v>154</v>
      </c>
      <c r="D48" s="8" t="s">
        <v>13</v>
      </c>
      <c r="E48" s="8" t="str">
        <f t="shared" si="0"/>
        <v>PDM Semarang</v>
      </c>
      <c r="F48" s="9" t="s">
        <v>209</v>
      </c>
      <c r="G48" s="33" t="s">
        <v>210</v>
      </c>
      <c r="H48" s="9" t="s">
        <v>117</v>
      </c>
      <c r="I48" s="9" t="s">
        <v>207</v>
      </c>
      <c r="J48" s="9" t="s">
        <v>158</v>
      </c>
      <c r="K48" s="8" t="s">
        <v>19</v>
      </c>
    </row>
    <row r="49" ht="17.55" spans="1:11">
      <c r="A49" s="7">
        <v>46</v>
      </c>
      <c r="B49" s="1" t="str">
        <f>RIGHT('[1]Rekap Dapur'!I49,8)</f>
        <v>FMJMZPBZ</v>
      </c>
      <c r="C49" s="10" t="s">
        <v>154</v>
      </c>
      <c r="D49" s="8" t="s">
        <v>13</v>
      </c>
      <c r="E49" s="8" t="str">
        <f t="shared" si="0"/>
        <v>PDM Semarang</v>
      </c>
      <c r="F49" s="9" t="s">
        <v>211</v>
      </c>
      <c r="G49" s="33" t="s">
        <v>212</v>
      </c>
      <c r="H49" s="9" t="s">
        <v>117</v>
      </c>
      <c r="I49" s="9" t="s">
        <v>207</v>
      </c>
      <c r="J49" s="9" t="s">
        <v>162</v>
      </c>
      <c r="K49" s="8" t="s">
        <v>19</v>
      </c>
    </row>
    <row r="50" ht="29.75" spans="1:11">
      <c r="A50" s="7">
        <v>47</v>
      </c>
      <c r="B50" s="1" t="str">
        <f>RIGHT('[1]Rekap Dapur'!I50,8)</f>
        <v>6XKVBESR</v>
      </c>
      <c r="C50" s="10" t="s">
        <v>213</v>
      </c>
      <c r="D50" s="8" t="s">
        <v>214</v>
      </c>
      <c r="E50" s="8" t="str">
        <f t="shared" si="0"/>
        <v>PDA Sragen</v>
      </c>
      <c r="F50" s="9" t="s">
        <v>215</v>
      </c>
      <c r="G50" s="33" t="s">
        <v>216</v>
      </c>
      <c r="H50" s="9" t="s">
        <v>117</v>
      </c>
      <c r="I50" s="9" t="s">
        <v>217</v>
      </c>
      <c r="J50" s="9" t="s">
        <v>218</v>
      </c>
      <c r="K50" s="8" t="s">
        <v>19</v>
      </c>
    </row>
    <row r="51" ht="29.75" spans="1:11">
      <c r="A51" s="7">
        <v>48</v>
      </c>
      <c r="B51" s="1" t="str">
        <f>RIGHT('[1]Rekap Dapur'!I51,8)</f>
        <v>PFWZWOTZ</v>
      </c>
      <c r="C51" s="10" t="s">
        <v>219</v>
      </c>
      <c r="D51" s="8" t="s">
        <v>13</v>
      </c>
      <c r="E51" s="8" t="str">
        <f t="shared" si="0"/>
        <v>PDM Sragen</v>
      </c>
      <c r="F51" s="9" t="s">
        <v>220</v>
      </c>
      <c r="G51" s="33" t="s">
        <v>221</v>
      </c>
      <c r="H51" s="9" t="s">
        <v>117</v>
      </c>
      <c r="I51" s="9" t="s">
        <v>217</v>
      </c>
      <c r="J51" s="9" t="s">
        <v>222</v>
      </c>
      <c r="K51" s="8" t="s">
        <v>19</v>
      </c>
    </row>
    <row r="52" ht="29.75" spans="1:11">
      <c r="A52" s="7">
        <v>49</v>
      </c>
      <c r="B52" s="1" t="str">
        <f>RIGHT('[1]Rekap Dapur'!I52,8)</f>
        <v>02VQKESX</v>
      </c>
      <c r="C52" s="9" t="s">
        <v>223</v>
      </c>
      <c r="D52" s="8" t="s">
        <v>32</v>
      </c>
      <c r="E52" s="8" t="str">
        <f t="shared" si="0"/>
        <v>Pondok Pesantren Darul Ihsan Muhammadiyah Sragen</v>
      </c>
      <c r="F52" s="9" t="s">
        <v>224</v>
      </c>
      <c r="G52" s="33" t="s">
        <v>225</v>
      </c>
      <c r="H52" s="9" t="s">
        <v>117</v>
      </c>
      <c r="I52" s="9" t="s">
        <v>217</v>
      </c>
      <c r="J52" s="9" t="s">
        <v>217</v>
      </c>
      <c r="K52" s="8" t="s">
        <v>19</v>
      </c>
    </row>
    <row r="53" ht="29.75" spans="1:11">
      <c r="A53" s="7">
        <v>50</v>
      </c>
      <c r="B53" s="1" t="str">
        <f>RIGHT('[1]Rekap Dapur'!I53,8)</f>
        <v>BIJNIPMW</v>
      </c>
      <c r="C53" s="9" t="s">
        <v>226</v>
      </c>
      <c r="D53" s="8" t="s">
        <v>47</v>
      </c>
      <c r="E53" s="8" t="str">
        <f t="shared" si="0"/>
        <v>SMP Birrul Walidain Muhammadiyah Sragen</v>
      </c>
      <c r="F53" s="9" t="s">
        <v>227</v>
      </c>
      <c r="G53" s="33" t="s">
        <v>228</v>
      </c>
      <c r="H53" s="9" t="s">
        <v>117</v>
      </c>
      <c r="I53" s="9" t="s">
        <v>217</v>
      </c>
      <c r="J53" s="9" t="s">
        <v>217</v>
      </c>
      <c r="K53" s="8" t="s">
        <v>19</v>
      </c>
    </row>
    <row r="54" ht="17.55" spans="1:11">
      <c r="A54" s="7">
        <v>51</v>
      </c>
      <c r="B54" s="1" t="str">
        <f>RIGHT('[1]Rekap Dapur'!I54,8)</f>
        <v>K3X1EL5H</v>
      </c>
      <c r="C54" s="9" t="s">
        <v>229</v>
      </c>
      <c r="D54" s="8" t="s">
        <v>149</v>
      </c>
      <c r="E54" s="8" t="str">
        <f t="shared" si="0"/>
        <v>PCM Baki</v>
      </c>
      <c r="F54" s="9" t="s">
        <v>230</v>
      </c>
      <c r="G54" s="33" t="s">
        <v>231</v>
      </c>
      <c r="H54" s="9" t="s">
        <v>117</v>
      </c>
      <c r="I54" s="9" t="s">
        <v>232</v>
      </c>
      <c r="J54" s="9" t="s">
        <v>233</v>
      </c>
      <c r="K54" s="8" t="s">
        <v>19</v>
      </c>
    </row>
    <row r="55" ht="17.55" spans="1:11">
      <c r="A55" s="7">
        <v>52</v>
      </c>
      <c r="B55" s="1" t="str">
        <f>RIGHT('[1]Rekap Dapur'!I55,8)</f>
        <v>0ZDLVY8W</v>
      </c>
      <c r="C55" s="9" t="s">
        <v>234</v>
      </c>
      <c r="D55" s="8" t="s">
        <v>214</v>
      </c>
      <c r="E55" s="8" t="str">
        <f t="shared" si="0"/>
        <v>PDA Sukoharjo</v>
      </c>
      <c r="F55" s="9" t="s">
        <v>235</v>
      </c>
      <c r="G55" s="33" t="s">
        <v>236</v>
      </c>
      <c r="H55" s="9" t="s">
        <v>117</v>
      </c>
      <c r="I55" s="9" t="s">
        <v>232</v>
      </c>
      <c r="J55" s="9" t="s">
        <v>232</v>
      </c>
      <c r="K55" s="8" t="s">
        <v>19</v>
      </c>
    </row>
    <row r="56" ht="29.75" spans="1:11">
      <c r="A56" s="7">
        <v>53</v>
      </c>
      <c r="B56" s="1" t="str">
        <f>RIGHT('[1]Rekap Dapur'!I56,8)</f>
        <v>HSV3B9DO</v>
      </c>
      <c r="C56" s="9" t="s">
        <v>234</v>
      </c>
      <c r="D56" s="8" t="s">
        <v>214</v>
      </c>
      <c r="E56" s="8" t="str">
        <f t="shared" si="0"/>
        <v>PDA Sukoharjo</v>
      </c>
      <c r="F56" s="9" t="s">
        <v>237</v>
      </c>
      <c r="G56" s="33" t="s">
        <v>238</v>
      </c>
      <c r="H56" s="9" t="s">
        <v>117</v>
      </c>
      <c r="I56" s="9" t="s">
        <v>232</v>
      </c>
      <c r="J56" s="9" t="s">
        <v>232</v>
      </c>
      <c r="K56" s="8" t="s">
        <v>19</v>
      </c>
    </row>
    <row r="57" ht="29.75" spans="1:11">
      <c r="A57" s="7">
        <v>54</v>
      </c>
      <c r="B57" s="1" t="str">
        <f>RIGHT('[1]Rekap Dapur'!I57,8)</f>
        <v>IEK4UA1H</v>
      </c>
      <c r="C57" s="9" t="s">
        <v>239</v>
      </c>
      <c r="D57" s="8" t="s">
        <v>13</v>
      </c>
      <c r="E57" s="8" t="str">
        <f t="shared" si="0"/>
        <v>PDM Sukoharjo</v>
      </c>
      <c r="F57" s="9" t="s">
        <v>240</v>
      </c>
      <c r="G57" s="33" t="s">
        <v>241</v>
      </c>
      <c r="H57" s="9" t="s">
        <v>117</v>
      </c>
      <c r="I57" s="9" t="s">
        <v>232</v>
      </c>
      <c r="J57" s="9" t="s">
        <v>242</v>
      </c>
      <c r="K57" s="8" t="s">
        <v>19</v>
      </c>
    </row>
    <row r="58" ht="17.55" spans="1:11">
      <c r="A58" s="7">
        <v>55</v>
      </c>
      <c r="B58" s="1" t="str">
        <f>RIGHT('[1]Rekap Dapur'!I58,8)</f>
        <v>LLXFLXMO</v>
      </c>
      <c r="C58" s="9" t="s">
        <v>239</v>
      </c>
      <c r="D58" s="8" t="s">
        <v>32</v>
      </c>
      <c r="E58" s="8" t="str">
        <f t="shared" si="0"/>
        <v>PDM Sukoharjo</v>
      </c>
      <c r="F58" s="9" t="s">
        <v>243</v>
      </c>
      <c r="G58" s="33" t="s">
        <v>244</v>
      </c>
      <c r="H58" s="9" t="s">
        <v>117</v>
      </c>
      <c r="I58" s="9" t="s">
        <v>232</v>
      </c>
      <c r="J58" s="9" t="s">
        <v>245</v>
      </c>
      <c r="K58" s="8" t="s">
        <v>19</v>
      </c>
    </row>
    <row r="59" ht="29.75" spans="1:11">
      <c r="A59" s="7">
        <v>56</v>
      </c>
      <c r="B59" s="1" t="str">
        <f>RIGHT('[1]Rekap Dapur'!I59,8)</f>
        <v>DYRIYKMV</v>
      </c>
      <c r="C59" s="9" t="s">
        <v>169</v>
      </c>
      <c r="D59" s="8" t="s">
        <v>56</v>
      </c>
      <c r="E59" s="8" t="str">
        <f t="shared" si="0"/>
        <v>Universitas Muhammadiyah Surakarta</v>
      </c>
      <c r="F59" s="9" t="s">
        <v>246</v>
      </c>
      <c r="G59" s="33" t="s">
        <v>171</v>
      </c>
      <c r="H59" s="9" t="s">
        <v>117</v>
      </c>
      <c r="I59" s="9" t="s">
        <v>232</v>
      </c>
      <c r="J59" s="9" t="s">
        <v>247</v>
      </c>
      <c r="K59" s="8" t="s">
        <v>19</v>
      </c>
    </row>
    <row r="60" ht="44.75" spans="1:11">
      <c r="A60" s="7">
        <v>57</v>
      </c>
      <c r="B60" s="1" t="str">
        <f>RIGHT('[1]Rekap Dapur'!I60,8)</f>
        <v>4JPWOYXB</v>
      </c>
      <c r="C60" s="9" t="s">
        <v>248</v>
      </c>
      <c r="D60" s="8" t="s">
        <v>32</v>
      </c>
      <c r="E60" s="8" t="str">
        <f t="shared" si="0"/>
        <v>Pondok Pesantren Al-Mu'min Muhammadiyah Tembarak Temanggung</v>
      </c>
      <c r="F60" s="9" t="s">
        <v>249</v>
      </c>
      <c r="G60" s="33" t="s">
        <v>250</v>
      </c>
      <c r="H60" s="9" t="s">
        <v>117</v>
      </c>
      <c r="I60" s="9" t="s">
        <v>251</v>
      </c>
      <c r="J60" s="9" t="s">
        <v>252</v>
      </c>
      <c r="K60" s="8" t="s">
        <v>19</v>
      </c>
    </row>
    <row r="61" ht="17.55" spans="1:11">
      <c r="A61" s="7">
        <v>58</v>
      </c>
      <c r="B61" s="1" t="str">
        <f>RIGHT('[1]Rekap Dapur'!I61,8)</f>
        <v>OWIK42DJ</v>
      </c>
      <c r="C61" s="9" t="s">
        <v>253</v>
      </c>
      <c r="D61" s="8" t="s">
        <v>13</v>
      </c>
      <c r="E61" s="8" t="str">
        <f t="shared" si="0"/>
        <v>PDM Temanggung</v>
      </c>
      <c r="F61" s="11" t="s">
        <v>254</v>
      </c>
      <c r="G61" s="34" t="s">
        <v>255</v>
      </c>
      <c r="H61" s="9" t="s">
        <v>117</v>
      </c>
      <c r="I61" s="9" t="s">
        <v>251</v>
      </c>
      <c r="J61" s="9" t="s">
        <v>256</v>
      </c>
      <c r="K61" s="8" t="s">
        <v>19</v>
      </c>
    </row>
    <row r="62" ht="17.55" spans="1:11">
      <c r="A62" s="7">
        <v>59</v>
      </c>
      <c r="B62" s="1" t="str">
        <f>RIGHT('[1]Rekap Dapur'!I62,8)</f>
        <v>KRZ6XWHU</v>
      </c>
      <c r="C62" s="10" t="s">
        <v>257</v>
      </c>
      <c r="D62" s="8" t="s">
        <v>258</v>
      </c>
      <c r="E62" s="8" t="str">
        <f t="shared" si="0"/>
        <v>PDM Wonogiri</v>
      </c>
      <c r="F62" s="9" t="s">
        <v>259</v>
      </c>
      <c r="G62" s="33" t="s">
        <v>260</v>
      </c>
      <c r="H62" s="9" t="s">
        <v>117</v>
      </c>
      <c r="I62" s="9" t="s">
        <v>261</v>
      </c>
      <c r="J62" s="9" t="s">
        <v>261</v>
      </c>
      <c r="K62" s="8" t="s">
        <v>19</v>
      </c>
    </row>
    <row r="63" ht="17.55" spans="1:11">
      <c r="A63" s="7">
        <v>60</v>
      </c>
      <c r="B63" s="1" t="str">
        <f>RIGHT('[1]Rekap Dapur'!I63,8)</f>
        <v>GC8T6IBY</v>
      </c>
      <c r="C63" s="10" t="s">
        <v>257</v>
      </c>
      <c r="D63" s="8" t="s">
        <v>258</v>
      </c>
      <c r="E63" s="8" t="str">
        <f t="shared" si="0"/>
        <v>PDM Wonogiri</v>
      </c>
      <c r="F63" s="9" t="s">
        <v>262</v>
      </c>
      <c r="G63" s="33" t="s">
        <v>263</v>
      </c>
      <c r="H63" s="9" t="s">
        <v>117</v>
      </c>
      <c r="I63" s="9" t="s">
        <v>261</v>
      </c>
      <c r="J63" s="9" t="s">
        <v>264</v>
      </c>
      <c r="K63" s="8" t="s">
        <v>19</v>
      </c>
    </row>
    <row r="64" ht="17.55" spans="1:11">
      <c r="A64" s="7">
        <v>61</v>
      </c>
      <c r="B64" s="1" t="str">
        <f>RIGHT('[1]Rekap Dapur'!I64,8)</f>
        <v>GIGKGDIF</v>
      </c>
      <c r="C64" s="9" t="s">
        <v>139</v>
      </c>
      <c r="D64" s="8" t="s">
        <v>13</v>
      </c>
      <c r="E64" s="8" t="str">
        <f t="shared" si="0"/>
        <v>PDM Jepara</v>
      </c>
      <c r="F64" s="9" t="s">
        <v>265</v>
      </c>
      <c r="G64" s="33" t="s">
        <v>266</v>
      </c>
      <c r="H64" s="9" t="s">
        <v>117</v>
      </c>
      <c r="I64" s="9" t="s">
        <v>142</v>
      </c>
      <c r="J64" s="9" t="s">
        <v>267</v>
      </c>
      <c r="K64" s="8" t="s">
        <v>19</v>
      </c>
    </row>
    <row r="65" ht="17.55" spans="1:11">
      <c r="A65" s="7">
        <v>62</v>
      </c>
      <c r="B65" s="1" t="str">
        <f>RIGHT('[1]Rekap Dapur'!I65,8)</f>
        <v>LRUH617B</v>
      </c>
      <c r="C65" s="9" t="s">
        <v>268</v>
      </c>
      <c r="D65" s="8" t="s">
        <v>214</v>
      </c>
      <c r="E65" s="8" t="str">
        <f t="shared" si="0"/>
        <v>PDA SRAGEN</v>
      </c>
      <c r="F65" s="9" t="s">
        <v>269</v>
      </c>
      <c r="G65" s="33" t="s">
        <v>270</v>
      </c>
      <c r="H65" s="9" t="s">
        <v>117</v>
      </c>
      <c r="I65" s="9" t="s">
        <v>217</v>
      </c>
      <c r="J65" s="9" t="s">
        <v>271</v>
      </c>
      <c r="K65" s="8" t="s">
        <v>19</v>
      </c>
    </row>
    <row r="66" ht="17.55" spans="1:11">
      <c r="A66" s="7">
        <v>63</v>
      </c>
      <c r="B66" s="1" t="str">
        <f>RIGHT('[1]Rekap Dapur'!I66,8)</f>
        <v>0WFMXVTY</v>
      </c>
      <c r="C66" s="9" t="s">
        <v>272</v>
      </c>
      <c r="D66" s="8" t="s">
        <v>149</v>
      </c>
      <c r="E66" s="8" t="str">
        <f t="shared" si="0"/>
        <v>PCM Maesan</v>
      </c>
      <c r="F66" s="9" t="s">
        <v>273</v>
      </c>
      <c r="G66" s="33" t="s">
        <v>274</v>
      </c>
      <c r="H66" s="9" t="s">
        <v>275</v>
      </c>
      <c r="I66" s="9" t="s">
        <v>276</v>
      </c>
      <c r="J66" s="9" t="s">
        <v>277</v>
      </c>
      <c r="K66" s="8" t="s">
        <v>19</v>
      </c>
    </row>
    <row r="67" ht="17.55" spans="1:11">
      <c r="A67" s="7">
        <v>64</v>
      </c>
      <c r="B67" s="1" t="str">
        <f>RIGHT('[1]Rekap Dapur'!I67,8)</f>
        <v>U4CTQLYA</v>
      </c>
      <c r="C67" s="9" t="s">
        <v>278</v>
      </c>
      <c r="D67" s="8" t="s">
        <v>279</v>
      </c>
      <c r="E67" s="8" t="str">
        <f t="shared" si="0"/>
        <v>PDPM Kab Malang</v>
      </c>
      <c r="F67" s="9" t="s">
        <v>280</v>
      </c>
      <c r="G67" s="33" t="s">
        <v>281</v>
      </c>
      <c r="H67" s="9" t="s">
        <v>275</v>
      </c>
      <c r="I67" s="9" t="s">
        <v>282</v>
      </c>
      <c r="J67" s="9" t="s">
        <v>283</v>
      </c>
      <c r="K67" s="8" t="s">
        <v>19</v>
      </c>
    </row>
    <row r="68" ht="29.75" spans="1:11">
      <c r="A68" s="7">
        <v>65</v>
      </c>
      <c r="B68" s="1" t="str">
        <f>RIGHT('[1]Rekap Dapur'!I68,8)</f>
        <v>PLHXX5TK</v>
      </c>
      <c r="C68" s="9" t="s">
        <v>284</v>
      </c>
      <c r="D68" s="8" t="s">
        <v>32</v>
      </c>
      <c r="E68" s="8" t="str">
        <f t="shared" si="0"/>
        <v>Pondok Pesantren Entrepreneur Muhammadiyah Gondanglegi</v>
      </c>
      <c r="F68" s="11" t="s">
        <v>285</v>
      </c>
      <c r="G68" s="34" t="s">
        <v>286</v>
      </c>
      <c r="H68" s="9" t="s">
        <v>275</v>
      </c>
      <c r="I68" s="9" t="s">
        <v>287</v>
      </c>
      <c r="J68" s="9" t="s">
        <v>288</v>
      </c>
      <c r="K68" s="8" t="s">
        <v>19</v>
      </c>
    </row>
    <row r="69" ht="17.55" spans="1:11">
      <c r="A69" s="7">
        <v>66</v>
      </c>
      <c r="B69" s="1" t="str">
        <f>RIGHT('[1]Rekap Dapur'!I69,8)</f>
        <v>CHU0BM5Y</v>
      </c>
      <c r="C69" s="9" t="s">
        <v>289</v>
      </c>
      <c r="D69" s="8" t="s">
        <v>13</v>
      </c>
      <c r="E69" s="8" t="str">
        <f t="shared" ref="E69:E132" si="1">C69</f>
        <v>PDM Banyuwangi</v>
      </c>
      <c r="F69" s="9" t="s">
        <v>290</v>
      </c>
      <c r="G69" s="33" t="s">
        <v>291</v>
      </c>
      <c r="H69" s="9" t="s">
        <v>275</v>
      </c>
      <c r="I69" s="9" t="s">
        <v>292</v>
      </c>
      <c r="J69" s="9" t="s">
        <v>293</v>
      </c>
      <c r="K69" s="8" t="s">
        <v>19</v>
      </c>
    </row>
    <row r="70" ht="17.55" spans="1:11">
      <c r="A70" s="7">
        <v>67</v>
      </c>
      <c r="B70" s="1" t="str">
        <f>RIGHT('[1]Rekap Dapur'!I70,8)</f>
        <v>QN1CWJTH</v>
      </c>
      <c r="C70" s="9" t="s">
        <v>294</v>
      </c>
      <c r="D70" s="8" t="s">
        <v>47</v>
      </c>
      <c r="E70" s="8" t="str">
        <f t="shared" si="1"/>
        <v>SMA Muhammadiyah 1 Tarakan</v>
      </c>
      <c r="F70" s="9" t="s">
        <v>295</v>
      </c>
      <c r="G70" s="33" t="s">
        <v>296</v>
      </c>
      <c r="H70" s="9" t="s">
        <v>297</v>
      </c>
      <c r="I70" s="9" t="s">
        <v>298</v>
      </c>
      <c r="J70" s="9" t="s">
        <v>299</v>
      </c>
      <c r="K70" s="8" t="s">
        <v>19</v>
      </c>
    </row>
    <row r="71" ht="17.55" spans="1:11">
      <c r="A71" s="7">
        <v>68</v>
      </c>
      <c r="B71" s="1" t="str">
        <f>RIGHT('[1]Rekap Dapur'!I71,8)</f>
        <v>KHPWKVFC</v>
      </c>
      <c r="C71" s="9" t="s">
        <v>300</v>
      </c>
      <c r="D71" s="8" t="s">
        <v>13</v>
      </c>
      <c r="E71" s="8" t="str">
        <f t="shared" si="1"/>
        <v>PDM Malinau</v>
      </c>
      <c r="F71" s="9" t="s">
        <v>301</v>
      </c>
      <c r="G71" s="33" t="s">
        <v>302</v>
      </c>
      <c r="H71" s="9" t="s">
        <v>297</v>
      </c>
      <c r="I71" s="9" t="s">
        <v>303</v>
      </c>
      <c r="J71" s="9" t="s">
        <v>304</v>
      </c>
      <c r="K71" s="8" t="s">
        <v>19</v>
      </c>
    </row>
    <row r="72" ht="17.55" spans="1:11">
      <c r="A72" s="7">
        <v>69</v>
      </c>
      <c r="B72" s="1" t="str">
        <f>RIGHT('[1]Rekap Dapur'!I72,8)</f>
        <v>CKV3GO43</v>
      </c>
      <c r="C72" s="9" t="s">
        <v>305</v>
      </c>
      <c r="D72" s="8" t="s">
        <v>13</v>
      </c>
      <c r="E72" s="8" t="str">
        <f t="shared" si="1"/>
        <v>PDM Nunukan</v>
      </c>
      <c r="F72" s="11" t="s">
        <v>306</v>
      </c>
      <c r="G72" s="34" t="s">
        <v>307</v>
      </c>
      <c r="H72" s="9" t="s">
        <v>297</v>
      </c>
      <c r="I72" s="9" t="s">
        <v>308</v>
      </c>
      <c r="J72" s="9" t="s">
        <v>309</v>
      </c>
      <c r="K72" s="8" t="s">
        <v>19</v>
      </c>
    </row>
    <row r="73" ht="17.55" spans="1:11">
      <c r="A73" s="7">
        <v>70</v>
      </c>
      <c r="B73" s="1" t="str">
        <f>RIGHT('[1]Rekap Dapur'!I73,8)</f>
        <v>V38OQIHK</v>
      </c>
      <c r="C73" s="10" t="s">
        <v>310</v>
      </c>
      <c r="D73" s="8" t="s">
        <v>311</v>
      </c>
      <c r="E73" s="8" t="str">
        <f t="shared" si="1"/>
        <v>PWM Kalimantan Utara</v>
      </c>
      <c r="F73" s="9" t="s">
        <v>312</v>
      </c>
      <c r="G73" s="33" t="s">
        <v>313</v>
      </c>
      <c r="H73" s="9" t="s">
        <v>297</v>
      </c>
      <c r="I73" s="9" t="s">
        <v>314</v>
      </c>
      <c r="J73" s="9" t="s">
        <v>299</v>
      </c>
      <c r="K73" s="8" t="s">
        <v>19</v>
      </c>
    </row>
    <row r="74" ht="17.55" spans="1:11">
      <c r="A74" s="7">
        <v>71</v>
      </c>
      <c r="B74" s="1" t="str">
        <f>RIGHT('[1]Rekap Dapur'!I74,8)</f>
        <v>GKMZPC84</v>
      </c>
      <c r="C74" s="10" t="s">
        <v>315</v>
      </c>
      <c r="D74" s="8" t="s">
        <v>279</v>
      </c>
      <c r="E74" s="8" t="str">
        <f t="shared" si="1"/>
        <v>PD PM Lampung Utara</v>
      </c>
      <c r="F74" s="9" t="s">
        <v>316</v>
      </c>
      <c r="G74" s="33" t="s">
        <v>317</v>
      </c>
      <c r="H74" s="9" t="s">
        <v>318</v>
      </c>
      <c r="I74" s="9" t="s">
        <v>319</v>
      </c>
      <c r="J74" s="9" t="s">
        <v>320</v>
      </c>
      <c r="K74" s="8" t="s">
        <v>19</v>
      </c>
    </row>
    <row r="75" ht="17.55" spans="1:11">
      <c r="A75" s="7">
        <v>72</v>
      </c>
      <c r="B75" s="1" t="str">
        <f>RIGHT('[1]Rekap Dapur'!I75,8)</f>
        <v>TQNUBHPW</v>
      </c>
      <c r="C75" s="10" t="s">
        <v>321</v>
      </c>
      <c r="D75" s="8" t="s">
        <v>322</v>
      </c>
      <c r="E75" s="8" t="str">
        <f t="shared" si="1"/>
        <v>MEBP PWM Lampung</v>
      </c>
      <c r="F75" s="9" t="s">
        <v>323</v>
      </c>
      <c r="G75" s="33" t="s">
        <v>324</v>
      </c>
      <c r="H75" s="9" t="s">
        <v>318</v>
      </c>
      <c r="I75" s="9" t="s">
        <v>325</v>
      </c>
      <c r="J75" s="9" t="s">
        <v>326</v>
      </c>
      <c r="K75" s="8" t="s">
        <v>19</v>
      </c>
    </row>
    <row r="76" ht="17.55" spans="1:11">
      <c r="A76" s="7">
        <v>73</v>
      </c>
      <c r="B76" s="1" t="str">
        <f>RIGHT('[1]Rekap Dapur'!I76,8)</f>
        <v>PTT0NGQI</v>
      </c>
      <c r="C76" s="9" t="s">
        <v>327</v>
      </c>
      <c r="D76" s="8" t="s">
        <v>149</v>
      </c>
      <c r="E76" s="8" t="str">
        <f t="shared" si="1"/>
        <v>PCM Talangpadang</v>
      </c>
      <c r="F76" s="9" t="s">
        <v>328</v>
      </c>
      <c r="G76" s="33" t="s">
        <v>329</v>
      </c>
      <c r="H76" s="9" t="s">
        <v>318</v>
      </c>
      <c r="I76" s="9" t="s">
        <v>330</v>
      </c>
      <c r="J76" s="9" t="s">
        <v>331</v>
      </c>
      <c r="K76" s="8" t="s">
        <v>19</v>
      </c>
    </row>
    <row r="77" ht="17.55" spans="1:11">
      <c r="A77" s="7">
        <v>74</v>
      </c>
      <c r="B77" s="1" t="str">
        <f>RIGHT('[1]Rekap Dapur'!I77,8)</f>
        <v>HDHTU2FW</v>
      </c>
      <c r="C77" s="9" t="s">
        <v>332</v>
      </c>
      <c r="D77" s="8" t="s">
        <v>47</v>
      </c>
      <c r="E77" s="8" t="str">
        <f t="shared" si="1"/>
        <v>PDM Tanah Datar</v>
      </c>
      <c r="F77" s="9" t="s">
        <v>333</v>
      </c>
      <c r="G77" s="33" t="s">
        <v>334</v>
      </c>
      <c r="H77" s="9" t="s">
        <v>335</v>
      </c>
      <c r="I77" s="9" t="s">
        <v>336</v>
      </c>
      <c r="J77" s="9" t="s">
        <v>337</v>
      </c>
      <c r="K77" s="8" t="s">
        <v>19</v>
      </c>
    </row>
    <row r="78" ht="29.75" spans="1:11">
      <c r="A78" s="7">
        <v>75</v>
      </c>
      <c r="B78" s="1" t="str">
        <f>RIGHT('[1]Rekap Dapur'!I78,8)</f>
        <v>GI9NNNWI</v>
      </c>
      <c r="C78" s="9" t="s">
        <v>338</v>
      </c>
      <c r="D78" s="8" t="s">
        <v>47</v>
      </c>
      <c r="E78" s="8" t="str">
        <f t="shared" si="1"/>
        <v>MTsS Muhammadiyah Bayongbong</v>
      </c>
      <c r="F78" s="9" t="s">
        <v>339</v>
      </c>
      <c r="G78" s="33" t="s">
        <v>340</v>
      </c>
      <c r="H78" s="9" t="s">
        <v>64</v>
      </c>
      <c r="I78" s="9" t="s">
        <v>75</v>
      </c>
      <c r="J78" s="9" t="s">
        <v>341</v>
      </c>
      <c r="K78" s="8" t="s">
        <v>19</v>
      </c>
    </row>
    <row r="79" ht="17.55" spans="1:11">
      <c r="A79" s="7">
        <v>76</v>
      </c>
      <c r="B79" s="1" t="str">
        <f>RIGHT('[1]Rekap Dapur'!I79,8)</f>
        <v>EHVDWHDH</v>
      </c>
      <c r="C79" s="9" t="s">
        <v>163</v>
      </c>
      <c r="D79" s="8" t="s">
        <v>47</v>
      </c>
      <c r="E79" s="8" t="str">
        <f t="shared" si="1"/>
        <v>PDM Karanganyar</v>
      </c>
      <c r="F79" s="9" t="s">
        <v>342</v>
      </c>
      <c r="G79" s="33" t="s">
        <v>343</v>
      </c>
      <c r="H79" s="9" t="s">
        <v>117</v>
      </c>
      <c r="I79" s="9" t="s">
        <v>166</v>
      </c>
      <c r="J79" s="9" t="s">
        <v>166</v>
      </c>
      <c r="K79" s="8" t="s">
        <v>19</v>
      </c>
    </row>
    <row r="80" ht="29.75" spans="1:11">
      <c r="A80" s="7">
        <v>77</v>
      </c>
      <c r="B80" s="1" t="str">
        <f>RIGHT('[1]Rekap Dapur'!I80,8)</f>
        <v>YTBEFO8P</v>
      </c>
      <c r="C80" s="9" t="s">
        <v>344</v>
      </c>
      <c r="D80" s="8" t="s">
        <v>47</v>
      </c>
      <c r="E80" s="8" t="str">
        <f t="shared" si="1"/>
        <v>SMK Muhammadiyah Abung Semuli</v>
      </c>
      <c r="F80" s="9" t="s">
        <v>345</v>
      </c>
      <c r="G80" s="33" t="s">
        <v>346</v>
      </c>
      <c r="H80" s="9" t="s">
        <v>318</v>
      </c>
      <c r="I80" s="9" t="s">
        <v>319</v>
      </c>
      <c r="J80" s="9" t="s">
        <v>347</v>
      </c>
      <c r="K80" s="8" t="s">
        <v>19</v>
      </c>
    </row>
    <row r="81" ht="17.55" spans="1:11">
      <c r="A81" s="7">
        <v>78</v>
      </c>
      <c r="B81" s="1" t="str">
        <f>RIGHT('[1]Rekap Dapur'!I81,8)</f>
        <v>GBQDTZ ·</v>
      </c>
      <c r="C81" s="9" t="s">
        <v>348</v>
      </c>
      <c r="D81" s="8" t="s">
        <v>149</v>
      </c>
      <c r="E81" s="8" t="str">
        <f t="shared" si="1"/>
        <v>PCM Sumanda Pugung</v>
      </c>
      <c r="F81" s="9" t="s">
        <v>349</v>
      </c>
      <c r="G81" s="33" t="s">
        <v>350</v>
      </c>
      <c r="H81" s="9" t="s">
        <v>318</v>
      </c>
      <c r="I81" s="9" t="s">
        <v>330</v>
      </c>
      <c r="J81" s="9" t="s">
        <v>351</v>
      </c>
      <c r="K81" s="8" t="s">
        <v>19</v>
      </c>
    </row>
    <row r="82" ht="17.55" spans="1:11">
      <c r="A82" s="7">
        <v>79</v>
      </c>
      <c r="B82" s="1" t="str">
        <f>RIGHT('[1]Rekap Dapur'!I82,8)</f>
        <v>ASBNF2KK</v>
      </c>
      <c r="C82" s="13" t="s">
        <v>352</v>
      </c>
      <c r="D82" s="14" t="s">
        <v>13</v>
      </c>
      <c r="E82" s="8" t="str">
        <f t="shared" si="1"/>
        <v>PDM Kota Langsa</v>
      </c>
      <c r="F82" s="13" t="s">
        <v>353</v>
      </c>
      <c r="G82" s="33" t="s">
        <v>354</v>
      </c>
      <c r="H82" s="9" t="s">
        <v>355</v>
      </c>
      <c r="I82" s="9" t="s">
        <v>356</v>
      </c>
      <c r="J82" s="9" t="s">
        <v>357</v>
      </c>
      <c r="K82" s="8" t="s">
        <v>358</v>
      </c>
    </row>
    <row r="83" ht="29.75" spans="1:11">
      <c r="A83" s="7">
        <v>80</v>
      </c>
      <c r="B83" s="1" t="str">
        <f>RIGHT('[1]Rekap Dapur'!I83,8)</f>
        <v>HTICPVNG</v>
      </c>
      <c r="C83" s="13" t="s">
        <v>359</v>
      </c>
      <c r="D83" s="14" t="s">
        <v>322</v>
      </c>
      <c r="E83" s="8" t="str">
        <f t="shared" si="1"/>
        <v>MAJELIS EKONOMI PWM BANTEN_1</v>
      </c>
      <c r="F83" s="13" t="s">
        <v>360</v>
      </c>
      <c r="G83" s="33" t="s">
        <v>361</v>
      </c>
      <c r="H83" s="9" t="s">
        <v>16</v>
      </c>
      <c r="I83" s="9" t="s">
        <v>17</v>
      </c>
      <c r="J83" s="9" t="s">
        <v>362</v>
      </c>
      <c r="K83" s="8" t="s">
        <v>358</v>
      </c>
    </row>
    <row r="84" ht="17.55" spans="1:11">
      <c r="A84" s="7">
        <v>81</v>
      </c>
      <c r="B84" s="1" t="str">
        <f>RIGHT('[1]Rekap Dapur'!I84,8)</f>
        <v>FVYIAMD4</v>
      </c>
      <c r="C84" s="13" t="s">
        <v>363</v>
      </c>
      <c r="D84" s="14" t="s">
        <v>322</v>
      </c>
      <c r="E84" s="8" t="str">
        <f t="shared" si="1"/>
        <v>Majelis Ekonomi PWM Banten_2</v>
      </c>
      <c r="F84" s="13" t="s">
        <v>364</v>
      </c>
      <c r="G84" s="8" t="s">
        <v>365</v>
      </c>
      <c r="H84" s="9" t="s">
        <v>16</v>
      </c>
      <c r="I84" s="9" t="s">
        <v>18</v>
      </c>
      <c r="J84" s="9" t="s">
        <v>366</v>
      </c>
      <c r="K84" s="8" t="s">
        <v>358</v>
      </c>
    </row>
    <row r="85" ht="29.75" spans="1:11">
      <c r="A85" s="7">
        <v>82</v>
      </c>
      <c r="B85" s="1" t="str">
        <f>RIGHT('[1]Rekap Dapur'!I85,8)</f>
        <v>C8CK0UN0</v>
      </c>
      <c r="C85" s="13" t="s">
        <v>367</v>
      </c>
      <c r="D85" s="14" t="s">
        <v>32</v>
      </c>
      <c r="E85" s="8" t="str">
        <f t="shared" si="1"/>
        <v>Madrasah Muallimat Muhammadiyah</v>
      </c>
      <c r="F85" s="13" t="s">
        <v>368</v>
      </c>
      <c r="G85" s="33" t="s">
        <v>369</v>
      </c>
      <c r="H85" s="9" t="s">
        <v>28</v>
      </c>
      <c r="I85" s="9" t="s">
        <v>370</v>
      </c>
      <c r="J85" s="9" t="s">
        <v>60</v>
      </c>
      <c r="K85" s="8" t="s">
        <v>358</v>
      </c>
    </row>
    <row r="86" ht="17.55" spans="1:11">
      <c r="A86" s="7">
        <v>83</v>
      </c>
      <c r="B86" s="1" t="str">
        <f>RIGHT('[1]Rekap Dapur'!I86,8)</f>
        <v>XZ0610UK</v>
      </c>
      <c r="C86" s="13" t="s">
        <v>371</v>
      </c>
      <c r="D86" s="14" t="s">
        <v>47</v>
      </c>
      <c r="E86" s="8" t="str">
        <f t="shared" si="1"/>
        <v>SMK Muhammadiyah 2 Tempel</v>
      </c>
      <c r="F86" s="13" t="s">
        <v>372</v>
      </c>
      <c r="G86" s="33" t="s">
        <v>373</v>
      </c>
      <c r="H86" s="9" t="s">
        <v>28</v>
      </c>
      <c r="I86" s="9" t="s">
        <v>40</v>
      </c>
      <c r="J86" s="9" t="s">
        <v>374</v>
      </c>
      <c r="K86" s="8" t="s">
        <v>358</v>
      </c>
    </row>
    <row r="87" ht="17.55" spans="1:11">
      <c r="A87" s="7">
        <v>84</v>
      </c>
      <c r="B87" s="1" t="str">
        <f>RIGHT('[1]Rekap Dapur'!I87,8)</f>
        <v>FM50RLR1</v>
      </c>
      <c r="C87" s="13" t="s">
        <v>375</v>
      </c>
      <c r="D87" s="14" t="s">
        <v>322</v>
      </c>
      <c r="E87" s="8" t="str">
        <f t="shared" si="1"/>
        <v>Korwil PWM DIY</v>
      </c>
      <c r="F87" s="13" t="s">
        <v>376</v>
      </c>
      <c r="G87" s="33" t="s">
        <v>377</v>
      </c>
      <c r="H87" s="9" t="s">
        <v>28</v>
      </c>
      <c r="I87" s="9" t="s">
        <v>59</v>
      </c>
      <c r="J87" s="9" t="s">
        <v>378</v>
      </c>
      <c r="K87" s="8" t="s">
        <v>358</v>
      </c>
    </row>
    <row r="88" ht="29.75" spans="1:11">
      <c r="A88" s="7">
        <v>85</v>
      </c>
      <c r="B88" s="1" t="str">
        <f>RIGHT('[1]Rekap Dapur'!I88,8)</f>
        <v>APUXMNOH</v>
      </c>
      <c r="C88" s="13" t="s">
        <v>379</v>
      </c>
      <c r="D88" s="14" t="s">
        <v>380</v>
      </c>
      <c r="E88" s="8" t="str">
        <f t="shared" si="1"/>
        <v>Panti Asuhan Al-Mukhlisin Hungayonaa</v>
      </c>
      <c r="F88" s="13" t="s">
        <v>381</v>
      </c>
      <c r="G88" s="33" t="s">
        <v>382</v>
      </c>
      <c r="H88" s="9" t="s">
        <v>383</v>
      </c>
      <c r="I88" s="9" t="s">
        <v>384</v>
      </c>
      <c r="J88" s="9" t="s">
        <v>385</v>
      </c>
      <c r="K88" s="8" t="s">
        <v>358</v>
      </c>
    </row>
    <row r="89" ht="17.55" spans="1:11">
      <c r="A89" s="7">
        <v>86</v>
      </c>
      <c r="B89" s="1" t="str">
        <f>RIGHT('[1]Rekap Dapur'!I89,8)</f>
        <v>NSPBFOJF</v>
      </c>
      <c r="C89" s="13" t="s">
        <v>386</v>
      </c>
      <c r="D89" s="14" t="s">
        <v>13</v>
      </c>
      <c r="E89" s="8" t="str">
        <f t="shared" si="1"/>
        <v>PDM Kab Gorontalo</v>
      </c>
      <c r="F89" s="13" t="s">
        <v>387</v>
      </c>
      <c r="G89" s="33" t="s">
        <v>388</v>
      </c>
      <c r="H89" s="9" t="s">
        <v>383</v>
      </c>
      <c r="I89" s="9" t="s">
        <v>389</v>
      </c>
      <c r="J89" s="9" t="s">
        <v>390</v>
      </c>
      <c r="K89" s="8" t="s">
        <v>358</v>
      </c>
    </row>
    <row r="90" ht="17.55" spans="1:11">
      <c r="A90" s="7">
        <v>87</v>
      </c>
      <c r="B90" s="1" t="str">
        <f>RIGHT('[1]Rekap Dapur'!I90,8)</f>
        <v>PNBVCLPX</v>
      </c>
      <c r="C90" s="13" t="s">
        <v>391</v>
      </c>
      <c r="D90" s="14" t="s">
        <v>13</v>
      </c>
      <c r="E90" s="8" t="str">
        <f t="shared" si="1"/>
        <v>PDM Bekasi</v>
      </c>
      <c r="F90" s="13" t="s">
        <v>392</v>
      </c>
      <c r="G90" s="33" t="s">
        <v>393</v>
      </c>
      <c r="H90" s="9" t="s">
        <v>64</v>
      </c>
      <c r="I90" s="9" t="s">
        <v>394</v>
      </c>
      <c r="J90" s="9" t="s">
        <v>394</v>
      </c>
      <c r="K90" s="8" t="s">
        <v>358</v>
      </c>
    </row>
    <row r="91" ht="17.55" spans="1:11">
      <c r="A91" s="7">
        <v>88</v>
      </c>
      <c r="B91" s="1" t="str">
        <f>RIGHT('[1]Rekap Dapur'!I91,8)</f>
        <v>4BWOJU ·</v>
      </c>
      <c r="C91" s="13" t="s">
        <v>395</v>
      </c>
      <c r="D91" s="14" t="s">
        <v>47</v>
      </c>
      <c r="E91" s="8" t="str">
        <f t="shared" si="1"/>
        <v>SMKM Kuningan</v>
      </c>
      <c r="F91" s="13" t="s">
        <v>396</v>
      </c>
      <c r="G91" s="33" t="s">
        <v>397</v>
      </c>
      <c r="H91" s="9" t="s">
        <v>64</v>
      </c>
      <c r="I91" s="9" t="s">
        <v>398</v>
      </c>
      <c r="J91" s="9" t="s">
        <v>399</v>
      </c>
      <c r="K91" s="8" t="s">
        <v>358</v>
      </c>
    </row>
    <row r="92" ht="17.55" spans="1:11">
      <c r="A92" s="7">
        <v>89</v>
      </c>
      <c r="B92" s="1" t="str">
        <f>RIGHT('[1]Rekap Dapur'!I92,8)</f>
        <v>AU8ZJHBY</v>
      </c>
      <c r="C92" s="13" t="s">
        <v>400</v>
      </c>
      <c r="D92" s="14" t="s">
        <v>13</v>
      </c>
      <c r="E92" s="8" t="str">
        <f t="shared" si="1"/>
        <v>PDM Kota Bekasi</v>
      </c>
      <c r="F92" s="13" t="s">
        <v>401</v>
      </c>
      <c r="G92" s="33" t="s">
        <v>402</v>
      </c>
      <c r="H92" s="9" t="s">
        <v>64</v>
      </c>
      <c r="I92" s="9" t="s">
        <v>403</v>
      </c>
      <c r="J92" s="9" t="s">
        <v>404</v>
      </c>
      <c r="K92" s="8" t="s">
        <v>358</v>
      </c>
    </row>
    <row r="93" ht="17.55" spans="1:11">
      <c r="A93" s="7">
        <v>90</v>
      </c>
      <c r="B93" s="1" t="str">
        <f>RIGHT('[1]Rekap Dapur'!I93,8)</f>
        <v>833NEZLA</v>
      </c>
      <c r="C93" s="13" t="s">
        <v>36</v>
      </c>
      <c r="D93" s="14" t="s">
        <v>37</v>
      </c>
      <c r="E93" s="8" t="str">
        <f t="shared" si="1"/>
        <v>MPM PP Muhammadiyah</v>
      </c>
      <c r="F93" s="13" t="s">
        <v>405</v>
      </c>
      <c r="G93" s="33" t="s">
        <v>406</v>
      </c>
      <c r="H93" s="9" t="s">
        <v>407</v>
      </c>
      <c r="I93" s="9" t="s">
        <v>408</v>
      </c>
      <c r="J93" s="9" t="s">
        <v>409</v>
      </c>
      <c r="K93" s="8" t="s">
        <v>358</v>
      </c>
    </row>
    <row r="94" ht="17.55" spans="1:11">
      <c r="A94" s="7">
        <v>91</v>
      </c>
      <c r="B94" s="1" t="str">
        <f>RIGHT('[1]Rekap Dapur'!I94,8)</f>
        <v>COMVTMTG</v>
      </c>
      <c r="C94" s="13" t="s">
        <v>410</v>
      </c>
      <c r="D94" s="14" t="s">
        <v>47</v>
      </c>
      <c r="E94" s="8" t="str">
        <f t="shared" si="1"/>
        <v>SMKS MUHAMMADIYAH BAWANG</v>
      </c>
      <c r="F94" s="13" t="s">
        <v>411</v>
      </c>
      <c r="G94" s="33" t="s">
        <v>412</v>
      </c>
      <c r="H94" s="9" t="s">
        <v>407</v>
      </c>
      <c r="I94" s="9" t="s">
        <v>413</v>
      </c>
      <c r="J94" s="9" t="s">
        <v>414</v>
      </c>
      <c r="K94" s="8" t="s">
        <v>358</v>
      </c>
    </row>
    <row r="95" ht="17.55" spans="1:11">
      <c r="A95" s="7">
        <v>92</v>
      </c>
      <c r="B95" s="1" t="str">
        <f>RIGHT('[1]Rekap Dapur'!I95,8)</f>
        <v>BU4ZNR1W</v>
      </c>
      <c r="C95" s="9" t="s">
        <v>415</v>
      </c>
      <c r="D95" s="8" t="s">
        <v>13</v>
      </c>
      <c r="E95" s="8" t="str">
        <f t="shared" si="1"/>
        <v>PDM Boyolali</v>
      </c>
      <c r="F95" s="11" t="s">
        <v>416</v>
      </c>
      <c r="G95" s="34" t="s">
        <v>417</v>
      </c>
      <c r="H95" s="9" t="s">
        <v>117</v>
      </c>
      <c r="I95" s="9" t="s">
        <v>418</v>
      </c>
      <c r="J95" s="9" t="s">
        <v>419</v>
      </c>
      <c r="K95" s="8" t="s">
        <v>358</v>
      </c>
    </row>
    <row r="96" ht="17.55" spans="1:11">
      <c r="A96" s="7">
        <v>93</v>
      </c>
      <c r="B96" s="1" t="str">
        <f>RIGHT('[1]Rekap Dapur'!I96,8)</f>
        <v>MSHRHPJS</v>
      </c>
      <c r="C96" s="13" t="s">
        <v>420</v>
      </c>
      <c r="D96" s="14" t="s">
        <v>322</v>
      </c>
      <c r="E96" s="8" t="str">
        <f t="shared" si="1"/>
        <v>MPM PWM Jateng</v>
      </c>
      <c r="F96" s="13" t="s">
        <v>421</v>
      </c>
      <c r="G96" s="33" t="s">
        <v>422</v>
      </c>
      <c r="H96" s="9" t="s">
        <v>117</v>
      </c>
      <c r="I96" s="9" t="s">
        <v>423</v>
      </c>
      <c r="J96" s="9" t="s">
        <v>424</v>
      </c>
      <c r="K96" s="8" t="s">
        <v>358</v>
      </c>
    </row>
    <row r="97" ht="17.75" spans="1:11">
      <c r="A97" s="7">
        <v>94</v>
      </c>
      <c r="B97" s="1" t="str">
        <f>RIGHT('[1]Rekap Dapur'!I97,8)</f>
        <v>03UMLTCI</v>
      </c>
      <c r="C97" s="9" t="s">
        <v>139</v>
      </c>
      <c r="D97" s="8" t="s">
        <v>13</v>
      </c>
      <c r="E97" s="8" t="str">
        <f t="shared" si="1"/>
        <v>PDM Jepara</v>
      </c>
      <c r="F97" s="15" t="s">
        <v>425</v>
      </c>
      <c r="G97" s="35" t="s">
        <v>426</v>
      </c>
      <c r="H97" s="9" t="s">
        <v>407</v>
      </c>
      <c r="I97" s="9" t="s">
        <v>142</v>
      </c>
      <c r="J97" s="9" t="s">
        <v>427</v>
      </c>
      <c r="K97" s="8" t="s">
        <v>358</v>
      </c>
    </row>
    <row r="98" ht="17.55" spans="1:11">
      <c r="A98" s="7">
        <v>95</v>
      </c>
      <c r="B98" s="1" t="str">
        <f>RIGHT('[1]Rekap Dapur'!I98,8)</f>
        <v>NS3UVKQJ</v>
      </c>
      <c r="C98" s="9" t="s">
        <v>139</v>
      </c>
      <c r="D98" s="8" t="s">
        <v>13</v>
      </c>
      <c r="E98" s="8" t="str">
        <f t="shared" si="1"/>
        <v>PDM Jepara</v>
      </c>
      <c r="F98" s="9" t="s">
        <v>428</v>
      </c>
      <c r="G98" s="33" t="s">
        <v>429</v>
      </c>
      <c r="H98" s="9" t="s">
        <v>407</v>
      </c>
      <c r="I98" s="9" t="s">
        <v>142</v>
      </c>
      <c r="J98" s="9" t="s">
        <v>430</v>
      </c>
      <c r="K98" s="8" t="s">
        <v>431</v>
      </c>
    </row>
    <row r="99" ht="17.55" spans="1:11">
      <c r="A99" s="7">
        <v>96</v>
      </c>
      <c r="B99" s="1" t="str">
        <f>RIGHT('[1]Rekap Dapur'!I99,8)</f>
        <v>W2VJWXZP</v>
      </c>
      <c r="C99" s="13" t="s">
        <v>432</v>
      </c>
      <c r="D99" s="14"/>
      <c r="E99" s="8" t="str">
        <f t="shared" si="1"/>
        <v>Usulan Pak Fuad Kebumen</v>
      </c>
      <c r="F99" s="13" t="s">
        <v>433</v>
      </c>
      <c r="G99" s="33" t="s">
        <v>434</v>
      </c>
      <c r="H99" s="9" t="s">
        <v>117</v>
      </c>
      <c r="I99" s="9" t="s">
        <v>435</v>
      </c>
      <c r="J99" s="9" t="s">
        <v>436</v>
      </c>
      <c r="K99" s="8" t="s">
        <v>358</v>
      </c>
    </row>
    <row r="100" ht="29.75" spans="1:11">
      <c r="A100" s="7">
        <v>97</v>
      </c>
      <c r="B100" s="1" t="str">
        <f>RIGHT('[1]Rekap Dapur'!I100,8)</f>
        <v>DQI4KVYQ</v>
      </c>
      <c r="C100" s="13" t="s">
        <v>437</v>
      </c>
      <c r="D100" s="14" t="s">
        <v>13</v>
      </c>
      <c r="E100" s="8" t="str">
        <f t="shared" si="1"/>
        <v>PDM Kota Tegal</v>
      </c>
      <c r="F100" s="13" t="s">
        <v>438</v>
      </c>
      <c r="G100" s="33" t="s">
        <v>439</v>
      </c>
      <c r="H100" s="9" t="s">
        <v>117</v>
      </c>
      <c r="I100" s="9" t="s">
        <v>440</v>
      </c>
      <c r="J100" s="9" t="s">
        <v>441</v>
      </c>
      <c r="K100" s="8" t="s">
        <v>358</v>
      </c>
    </row>
    <row r="101" ht="17.55" spans="1:11">
      <c r="A101" s="7">
        <v>98</v>
      </c>
      <c r="B101" s="1" t="str">
        <f>RIGHT('[1]Rekap Dapur'!I101,8)</f>
        <v>MSWG3J0Y</v>
      </c>
      <c r="C101" s="13" t="s">
        <v>174</v>
      </c>
      <c r="D101" s="14" t="s">
        <v>13</v>
      </c>
      <c r="E101" s="8" t="str">
        <f t="shared" si="1"/>
        <v>PDM Kudus</v>
      </c>
      <c r="F101" s="13" t="s">
        <v>442</v>
      </c>
      <c r="G101" s="33" t="s">
        <v>443</v>
      </c>
      <c r="H101" s="9" t="s">
        <v>117</v>
      </c>
      <c r="I101" s="9" t="s">
        <v>177</v>
      </c>
      <c r="J101" s="9" t="s">
        <v>444</v>
      </c>
      <c r="K101" s="8" t="s">
        <v>358</v>
      </c>
    </row>
    <row r="102" ht="17.55" spans="1:11">
      <c r="A102" s="7">
        <v>99</v>
      </c>
      <c r="B102" s="1" t="str">
        <f>RIGHT('[1]Rekap Dapur'!I102,8)</f>
        <v>2CERQVY0</v>
      </c>
      <c r="C102" s="9" t="s">
        <v>445</v>
      </c>
      <c r="D102" s="8" t="s">
        <v>13</v>
      </c>
      <c r="E102" s="8" t="str">
        <f t="shared" si="1"/>
        <v>PCM Gembong</v>
      </c>
      <c r="F102" s="9" t="s">
        <v>446</v>
      </c>
      <c r="G102" s="33" t="s">
        <v>447</v>
      </c>
      <c r="H102" s="9" t="s">
        <v>117</v>
      </c>
      <c r="I102" s="9" t="s">
        <v>191</v>
      </c>
      <c r="J102" s="9" t="s">
        <v>448</v>
      </c>
      <c r="K102" s="8" t="s">
        <v>358</v>
      </c>
    </row>
    <row r="103" ht="17.55" spans="1:11">
      <c r="A103" s="7">
        <v>100</v>
      </c>
      <c r="B103" s="1" t="str">
        <f>RIGHT('[1]Rekap Dapur'!I103,8)</f>
        <v>0CYVS6FC</v>
      </c>
      <c r="C103" s="13" t="s">
        <v>449</v>
      </c>
      <c r="D103" s="14" t="s">
        <v>32</v>
      </c>
      <c r="E103" s="8" t="str">
        <f t="shared" si="1"/>
        <v>RTQ Al Mujtaba Ibnu Abbas</v>
      </c>
      <c r="F103" s="13" t="s">
        <v>450</v>
      </c>
      <c r="G103" s="33" t="s">
        <v>451</v>
      </c>
      <c r="H103" s="9" t="s">
        <v>117</v>
      </c>
      <c r="I103" s="9" t="s">
        <v>452</v>
      </c>
      <c r="J103" s="9" t="s">
        <v>453</v>
      </c>
      <c r="K103" s="8" t="s">
        <v>358</v>
      </c>
    </row>
    <row r="104" ht="44.75" spans="1:11">
      <c r="A104" s="7">
        <v>101</v>
      </c>
      <c r="B104" s="1" t="str">
        <f>RIGHT('[1]Rekap Dapur'!I104,8)</f>
        <v>ZBWN6UEO</v>
      </c>
      <c r="C104" s="13" t="s">
        <v>454</v>
      </c>
      <c r="D104" s="14" t="s">
        <v>13</v>
      </c>
      <c r="E104" s="8" t="str">
        <f t="shared" si="1"/>
        <v>PDM KAB. BANYUMAS (note: mengajukan titik di PEMALANG --&gt; Perlu konfirmasi</v>
      </c>
      <c r="F104" s="13" t="s">
        <v>455</v>
      </c>
      <c r="G104" s="33" t="s">
        <v>456</v>
      </c>
      <c r="H104" s="9" t="s">
        <v>117</v>
      </c>
      <c r="I104" s="9" t="s">
        <v>196</v>
      </c>
      <c r="J104" s="9" t="s">
        <v>196</v>
      </c>
      <c r="K104" s="8" t="s">
        <v>358</v>
      </c>
    </row>
    <row r="105" ht="17.55" spans="1:11">
      <c r="A105" s="7">
        <v>102</v>
      </c>
      <c r="B105" s="1" t="str">
        <f>RIGHT('[1]Rekap Dapur'!I105,8)</f>
        <v>AZGLO0AG</v>
      </c>
      <c r="C105" s="13" t="s">
        <v>457</v>
      </c>
      <c r="D105" s="14" t="s">
        <v>214</v>
      </c>
      <c r="E105" s="8" t="str">
        <f t="shared" si="1"/>
        <v>NA Bobotsari</v>
      </c>
      <c r="F105" s="13" t="s">
        <v>458</v>
      </c>
      <c r="G105" s="33" t="s">
        <v>459</v>
      </c>
      <c r="H105" s="9" t="s">
        <v>117</v>
      </c>
      <c r="I105" s="9" t="s">
        <v>460</v>
      </c>
      <c r="J105" s="9" t="s">
        <v>461</v>
      </c>
      <c r="K105" s="8" t="s">
        <v>358</v>
      </c>
    </row>
    <row r="106" ht="17.55" spans="1:11">
      <c r="A106" s="7">
        <v>103</v>
      </c>
      <c r="B106" s="1" t="str">
        <f>RIGHT('[1]Rekap Dapur'!I106,8)</f>
        <v>JI3QFVDY</v>
      </c>
      <c r="C106" s="13" t="s">
        <v>219</v>
      </c>
      <c r="D106" s="14" t="s">
        <v>13</v>
      </c>
      <c r="E106" s="8" t="str">
        <f t="shared" si="1"/>
        <v>PDM Sragen</v>
      </c>
      <c r="F106" s="13" t="s">
        <v>462</v>
      </c>
      <c r="G106" s="33" t="s">
        <v>463</v>
      </c>
      <c r="H106" s="9" t="s">
        <v>117</v>
      </c>
      <c r="I106" s="9" t="s">
        <v>217</v>
      </c>
      <c r="J106" s="9" t="s">
        <v>217</v>
      </c>
      <c r="K106" s="8" t="s">
        <v>358</v>
      </c>
    </row>
    <row r="107" ht="29.75" spans="1:11">
      <c r="A107" s="7">
        <v>104</v>
      </c>
      <c r="B107" s="1" t="str">
        <f>RIGHT('[1]Rekap Dapur'!I107,8)</f>
        <v>YZ9EDXZC</v>
      </c>
      <c r="C107" s="13" t="s">
        <v>432</v>
      </c>
      <c r="D107" s="14"/>
      <c r="E107" s="8" t="str">
        <f t="shared" si="1"/>
        <v>Usulan Pak Fuad Kebumen</v>
      </c>
      <c r="F107" s="13" t="s">
        <v>464</v>
      </c>
      <c r="G107" s="33" t="s">
        <v>465</v>
      </c>
      <c r="H107" s="9" t="s">
        <v>117</v>
      </c>
      <c r="I107" s="9" t="s">
        <v>466</v>
      </c>
      <c r="J107" s="9" t="s">
        <v>467</v>
      </c>
      <c r="K107" s="8" t="s">
        <v>358</v>
      </c>
    </row>
    <row r="108" ht="29.75" spans="1:11">
      <c r="A108" s="7">
        <v>105</v>
      </c>
      <c r="B108" s="1" t="str">
        <f>RIGHT('[1]Rekap Dapur'!I108,8)</f>
        <v>GBLHXRQY</v>
      </c>
      <c r="C108" s="13" t="s">
        <v>468</v>
      </c>
      <c r="D108" s="14" t="s">
        <v>47</v>
      </c>
      <c r="E108" s="8" t="str">
        <f t="shared" si="1"/>
        <v>SMK Muhammadiyah 1 Wonosobo</v>
      </c>
      <c r="F108" s="13" t="s">
        <v>469</v>
      </c>
      <c r="G108" s="33" t="s">
        <v>470</v>
      </c>
      <c r="H108" s="9" t="s">
        <v>117</v>
      </c>
      <c r="I108" s="9" t="s">
        <v>471</v>
      </c>
      <c r="J108" s="9" t="s">
        <v>471</v>
      </c>
      <c r="K108" s="8" t="s">
        <v>358</v>
      </c>
    </row>
    <row r="109" ht="29.75" spans="1:11">
      <c r="A109" s="7">
        <v>106</v>
      </c>
      <c r="B109" s="1" t="str">
        <f>RIGHT('[1]Rekap Dapur'!I109,8)</f>
        <v>BMDRCNDX</v>
      </c>
      <c r="C109" s="13" t="s">
        <v>472</v>
      </c>
      <c r="D109" s="14" t="s">
        <v>13</v>
      </c>
      <c r="E109" s="8" t="str">
        <f t="shared" si="1"/>
        <v>PDM Bondowoso</v>
      </c>
      <c r="F109" s="13" t="s">
        <v>473</v>
      </c>
      <c r="G109" s="33" t="s">
        <v>474</v>
      </c>
      <c r="H109" s="9" t="s">
        <v>275</v>
      </c>
      <c r="I109" s="9" t="s">
        <v>276</v>
      </c>
      <c r="J109" s="9" t="s">
        <v>475</v>
      </c>
      <c r="K109" s="8" t="s">
        <v>358</v>
      </c>
    </row>
    <row r="110" ht="29.75" spans="1:11">
      <c r="A110" s="7">
        <v>107</v>
      </c>
      <c r="B110" s="1" t="str">
        <f>RIGHT('[1]Rekap Dapur'!I110,8)</f>
        <v>XQRHOBHZ</v>
      </c>
      <c r="C110" s="9" t="s">
        <v>476</v>
      </c>
      <c r="D110" s="8" t="s">
        <v>149</v>
      </c>
      <c r="E110" s="8" t="str">
        <f t="shared" si="1"/>
        <v>PCM LAWANG</v>
      </c>
      <c r="F110" s="17" t="s">
        <v>477</v>
      </c>
      <c r="G110" s="36" t="s">
        <v>478</v>
      </c>
      <c r="H110" s="9" t="s">
        <v>275</v>
      </c>
      <c r="I110" s="9" t="s">
        <v>282</v>
      </c>
      <c r="J110" s="9" t="s">
        <v>479</v>
      </c>
      <c r="K110" s="8" t="s">
        <v>358</v>
      </c>
    </row>
    <row r="111" ht="17.55" spans="1:11">
      <c r="A111" s="7">
        <v>108</v>
      </c>
      <c r="B111" s="1" t="str">
        <f>RIGHT('[1]Rekap Dapur'!I111,8)</f>
        <v>GWL5PUOD</v>
      </c>
      <c r="C111" s="9" t="s">
        <v>480</v>
      </c>
      <c r="D111" s="8" t="s">
        <v>13</v>
      </c>
      <c r="E111" s="8" t="str">
        <f t="shared" si="1"/>
        <v>PDM Kota Malang</v>
      </c>
      <c r="F111" s="9" t="s">
        <v>481</v>
      </c>
      <c r="G111" s="33" t="s">
        <v>482</v>
      </c>
      <c r="H111" s="9" t="s">
        <v>483</v>
      </c>
      <c r="I111" s="9" t="s">
        <v>484</v>
      </c>
      <c r="J111" s="9" t="s">
        <v>485</v>
      </c>
      <c r="K111" s="8" t="s">
        <v>358</v>
      </c>
    </row>
    <row r="112" ht="44.75" spans="1:11">
      <c r="A112" s="7">
        <v>109</v>
      </c>
      <c r="B112" s="1" t="str">
        <f>RIGHT('[1]Rekap Dapur'!I112,8)</f>
        <v>EXEV3B0U</v>
      </c>
      <c r="C112" s="13" t="s">
        <v>486</v>
      </c>
      <c r="D112" s="14" t="s">
        <v>32</v>
      </c>
      <c r="E112" s="8" t="str">
        <f t="shared" si="1"/>
        <v>Pondok Pesantren Modern Al-Furqan Muhammadiyah Banjarmasin</v>
      </c>
      <c r="F112" s="13" t="s">
        <v>487</v>
      </c>
      <c r="G112" s="33" t="s">
        <v>488</v>
      </c>
      <c r="H112" s="9" t="s">
        <v>489</v>
      </c>
      <c r="I112" s="9" t="s">
        <v>490</v>
      </c>
      <c r="J112" s="9" t="s">
        <v>491</v>
      </c>
      <c r="K112" s="8" t="s">
        <v>358</v>
      </c>
    </row>
    <row r="113" ht="29.75" spans="1:11">
      <c r="A113" s="7">
        <v>110</v>
      </c>
      <c r="B113" s="1" t="str">
        <f>RIGHT('[1]Rekap Dapur'!I113,8)</f>
        <v>VO3TE2SK</v>
      </c>
      <c r="C113" s="13" t="s">
        <v>492</v>
      </c>
      <c r="D113" s="14" t="s">
        <v>32</v>
      </c>
      <c r="E113" s="8" t="str">
        <f t="shared" si="1"/>
        <v>Ponpes Terpadu Al-Mujahidin Balikpapan</v>
      </c>
      <c r="F113" s="13" t="s">
        <v>493</v>
      </c>
      <c r="G113" s="33" t="s">
        <v>494</v>
      </c>
      <c r="H113" s="9" t="s">
        <v>495</v>
      </c>
      <c r="I113" s="9" t="s">
        <v>496</v>
      </c>
      <c r="J113" s="9" t="s">
        <v>497</v>
      </c>
      <c r="K113" s="8" t="s">
        <v>358</v>
      </c>
    </row>
    <row r="114" ht="17.55" spans="1:11">
      <c r="A114" s="7">
        <v>111</v>
      </c>
      <c r="B114" s="1" t="str">
        <f>RIGHT('[1]Rekap Dapur'!I114,8)</f>
        <v>LVKYGUJF</v>
      </c>
      <c r="C114" s="13" t="s">
        <v>498</v>
      </c>
      <c r="D114" s="14" t="s">
        <v>47</v>
      </c>
      <c r="E114" s="8" t="str">
        <f t="shared" si="1"/>
        <v>SD Muhammadiyah 2 Samarinda</v>
      </c>
      <c r="F114" s="13" t="s">
        <v>499</v>
      </c>
      <c r="G114" s="33" t="s">
        <v>500</v>
      </c>
      <c r="H114" s="9" t="s">
        <v>495</v>
      </c>
      <c r="I114" s="9" t="s">
        <v>501</v>
      </c>
      <c r="J114" s="9" t="s">
        <v>502</v>
      </c>
      <c r="K114" s="8" t="s">
        <v>358</v>
      </c>
    </row>
    <row r="115" ht="29.75" spans="1:11">
      <c r="A115" s="7">
        <v>112</v>
      </c>
      <c r="B115" s="1" t="str">
        <f>RIGHT('[1]Rekap Dapur'!I115,8)</f>
        <v>GAINQ13N</v>
      </c>
      <c r="C115" s="13" t="s">
        <v>503</v>
      </c>
      <c r="D115" s="14" t="s">
        <v>380</v>
      </c>
      <c r="E115" s="8" t="str">
        <f t="shared" si="1"/>
        <v>LKSA Panti Asuhan Yatim dan Duafa Rita Walidah Aisyiyah</v>
      </c>
      <c r="F115" s="13" t="s">
        <v>504</v>
      </c>
      <c r="G115" s="33" t="s">
        <v>505</v>
      </c>
      <c r="H115" s="9" t="s">
        <v>297</v>
      </c>
      <c r="I115" s="9" t="s">
        <v>506</v>
      </c>
      <c r="J115" s="9" t="s">
        <v>507</v>
      </c>
      <c r="K115" s="8" t="s">
        <v>358</v>
      </c>
    </row>
    <row r="116" ht="17.55" spans="1:11">
      <c r="A116" s="7">
        <v>113</v>
      </c>
      <c r="B116" s="1" t="str">
        <f>RIGHT('[1]Rekap Dapur'!I116,8)</f>
        <v>W4X2STUC</v>
      </c>
      <c r="C116" s="9" t="s">
        <v>508</v>
      </c>
      <c r="D116" s="8" t="s">
        <v>25</v>
      </c>
      <c r="E116" s="8" t="str">
        <f t="shared" si="1"/>
        <v>PCA Bunyu</v>
      </c>
      <c r="F116" s="9" t="s">
        <v>509</v>
      </c>
      <c r="G116" s="33" t="s">
        <v>510</v>
      </c>
      <c r="H116" s="9" t="s">
        <v>297</v>
      </c>
      <c r="I116" s="9" t="s">
        <v>506</v>
      </c>
      <c r="J116" s="9" t="s">
        <v>511</v>
      </c>
      <c r="K116" s="8" t="s">
        <v>358</v>
      </c>
    </row>
    <row r="117" ht="29.75" spans="1:11">
      <c r="A117" s="7">
        <v>114</v>
      </c>
      <c r="B117" s="1" t="str">
        <f>RIGHT('[1]Rekap Dapur'!I117,8)</f>
        <v>AAERMSYN</v>
      </c>
      <c r="C117" s="9" t="s">
        <v>512</v>
      </c>
      <c r="D117" s="8" t="s">
        <v>47</v>
      </c>
      <c r="E117" s="8" t="str">
        <f t="shared" si="1"/>
        <v>SMP Muhammadiyah Tanjung Selor</v>
      </c>
      <c r="F117" s="9" t="s">
        <v>513</v>
      </c>
      <c r="G117" s="33" t="s">
        <v>514</v>
      </c>
      <c r="H117" s="9" t="s">
        <v>297</v>
      </c>
      <c r="I117" s="9" t="s">
        <v>506</v>
      </c>
      <c r="J117" s="9" t="s">
        <v>515</v>
      </c>
      <c r="K117" s="8" t="s">
        <v>358</v>
      </c>
    </row>
    <row r="118" ht="17.55" spans="1:11">
      <c r="A118" s="7">
        <v>115</v>
      </c>
      <c r="B118" s="1" t="str">
        <f>RIGHT('[1]Rekap Dapur'!I118,8)</f>
        <v>4USSJI0R</v>
      </c>
      <c r="C118" s="13" t="s">
        <v>516</v>
      </c>
      <c r="D118" s="14" t="s">
        <v>47</v>
      </c>
      <c r="E118" s="8" t="str">
        <f t="shared" si="1"/>
        <v>MBS Tarakan</v>
      </c>
      <c r="F118" s="13" t="s">
        <v>517</v>
      </c>
      <c r="G118" s="33" t="s">
        <v>518</v>
      </c>
      <c r="H118" s="9" t="s">
        <v>297</v>
      </c>
      <c r="I118" s="9" t="s">
        <v>298</v>
      </c>
      <c r="J118" s="9" t="s">
        <v>519</v>
      </c>
      <c r="K118" s="8" t="s">
        <v>358</v>
      </c>
    </row>
    <row r="119" ht="29.75" spans="1:11">
      <c r="A119" s="7">
        <v>116</v>
      </c>
      <c r="B119" s="1" t="str">
        <f>RIGHT('[1]Rekap Dapur'!I119,8)</f>
        <v>LLWOHQJY</v>
      </c>
      <c r="C119" s="9" t="s">
        <v>321</v>
      </c>
      <c r="D119" s="8" t="s">
        <v>322</v>
      </c>
      <c r="E119" s="8" t="str">
        <f t="shared" si="1"/>
        <v>MEBP PWM Lampung</v>
      </c>
      <c r="F119" s="9" t="s">
        <v>520</v>
      </c>
      <c r="G119" s="33" t="s">
        <v>521</v>
      </c>
      <c r="H119" s="9" t="s">
        <v>318</v>
      </c>
      <c r="I119" s="9" t="s">
        <v>522</v>
      </c>
      <c r="J119" s="9" t="s">
        <v>523</v>
      </c>
      <c r="K119" s="8" t="s">
        <v>358</v>
      </c>
    </row>
    <row r="120" ht="17.55" spans="1:11">
      <c r="A120" s="7">
        <v>117</v>
      </c>
      <c r="B120" s="1" t="str">
        <f>RIGHT('[1]Rekap Dapur'!I120,8)</f>
        <v>VCDOZT7R</v>
      </c>
      <c r="C120" s="9" t="s">
        <v>524</v>
      </c>
      <c r="D120" s="8" t="s">
        <v>13</v>
      </c>
      <c r="E120" s="8" t="str">
        <f t="shared" si="1"/>
        <v>PDM Dharmasraya</v>
      </c>
      <c r="F120" s="9" t="s">
        <v>525</v>
      </c>
      <c r="G120" s="33" t="s">
        <v>526</v>
      </c>
      <c r="H120" s="9" t="s">
        <v>335</v>
      </c>
      <c r="I120" s="9" t="s">
        <v>527</v>
      </c>
      <c r="J120" s="9" t="s">
        <v>528</v>
      </c>
      <c r="K120" s="8" t="s">
        <v>358</v>
      </c>
    </row>
    <row r="121" ht="29.75" spans="1:11">
      <c r="A121" s="7">
        <v>118</v>
      </c>
      <c r="B121" s="1" t="str">
        <f>RIGHT('[1]Rekap Dapur'!I121,8)</f>
        <v>EN2GOZOK</v>
      </c>
      <c r="C121" s="9" t="s">
        <v>529</v>
      </c>
      <c r="D121" s="8" t="s">
        <v>47</v>
      </c>
      <c r="E121" s="8" t="str">
        <f t="shared" si="1"/>
        <v>Majelis Dikdasmen &amp; PNF PWM Sumatera Barat</v>
      </c>
      <c r="F121" s="9" t="s">
        <v>530</v>
      </c>
      <c r="G121" s="33" t="s">
        <v>531</v>
      </c>
      <c r="H121" s="9" t="s">
        <v>335</v>
      </c>
      <c r="I121" s="9" t="s">
        <v>532</v>
      </c>
      <c r="J121" s="9" t="s">
        <v>533</v>
      </c>
      <c r="K121" s="8" t="s">
        <v>358</v>
      </c>
    </row>
    <row r="122" ht="17.55" spans="1:11">
      <c r="A122" s="7">
        <v>119</v>
      </c>
      <c r="B122" s="1" t="str">
        <f>RIGHT('[1]Rekap Dapur'!I122,8)</f>
        <v>EEVJW4SA</v>
      </c>
      <c r="C122" s="13" t="s">
        <v>534</v>
      </c>
      <c r="D122" s="14" t="s">
        <v>56</v>
      </c>
      <c r="E122" s="8" t="str">
        <f t="shared" si="1"/>
        <v>UNISA Palembang</v>
      </c>
      <c r="F122" s="13" t="s">
        <v>535</v>
      </c>
      <c r="G122" s="33" t="s">
        <v>536</v>
      </c>
      <c r="H122" s="9" t="s">
        <v>537</v>
      </c>
      <c r="I122" s="9" t="s">
        <v>538</v>
      </c>
      <c r="J122" s="9" t="s">
        <v>539</v>
      </c>
      <c r="K122" s="8" t="s">
        <v>358</v>
      </c>
    </row>
    <row r="123" ht="29.75" spans="1:11">
      <c r="A123" s="7">
        <v>120</v>
      </c>
      <c r="B123" s="1" t="str">
        <f>RIGHT('[1]Rekap Dapur'!I123,8)</f>
        <v>T3PKKZ9Y</v>
      </c>
      <c r="C123" s="13" t="s">
        <v>540</v>
      </c>
      <c r="D123" s="14" t="s">
        <v>149</v>
      </c>
      <c r="E123" s="8" t="str">
        <f t="shared" si="1"/>
        <v>DIKDASMEN PCM TANJUNG TIRAM</v>
      </c>
      <c r="F123" s="13" t="s">
        <v>541</v>
      </c>
      <c r="G123" s="33" t="s">
        <v>542</v>
      </c>
      <c r="H123" s="9" t="s">
        <v>543</v>
      </c>
      <c r="I123" s="9" t="s">
        <v>544</v>
      </c>
      <c r="J123" s="9" t="s">
        <v>545</v>
      </c>
      <c r="K123" s="8" t="s">
        <v>358</v>
      </c>
    </row>
    <row r="124" ht="17.55" spans="1:11">
      <c r="A124" s="7">
        <v>121</v>
      </c>
      <c r="B124" s="1" t="str">
        <f>RIGHT('[1]Rekap Dapur'!I124,8)</f>
        <v>0QRZ46ER</v>
      </c>
      <c r="C124" s="13" t="s">
        <v>36</v>
      </c>
      <c r="D124" s="14" t="s">
        <v>37</v>
      </c>
      <c r="E124" s="8" t="str">
        <f t="shared" si="1"/>
        <v>MPM PP Muhammadiyah</v>
      </c>
      <c r="F124" s="13" t="s">
        <v>546</v>
      </c>
      <c r="G124" s="33" t="s">
        <v>547</v>
      </c>
      <c r="H124" s="9" t="s">
        <v>543</v>
      </c>
      <c r="I124" s="9" t="s">
        <v>548</v>
      </c>
      <c r="J124" s="9" t="s">
        <v>549</v>
      </c>
      <c r="K124" s="8" t="s">
        <v>358</v>
      </c>
    </row>
    <row r="125" ht="17.55" spans="1:11">
      <c r="A125" s="7">
        <v>122</v>
      </c>
      <c r="B125" s="1" t="str">
        <f>RIGHT('[1]Rekap Dapur'!I125,8)</f>
        <v>NMKDKU3L</v>
      </c>
      <c r="C125" s="13" t="s">
        <v>550</v>
      </c>
      <c r="D125" s="14" t="s">
        <v>149</v>
      </c>
      <c r="E125" s="8" t="str">
        <f t="shared" si="1"/>
        <v>PCM Belawan</v>
      </c>
      <c r="F125" s="13" t="s">
        <v>551</v>
      </c>
      <c r="G125" s="33" t="s">
        <v>552</v>
      </c>
      <c r="H125" s="9" t="s">
        <v>543</v>
      </c>
      <c r="I125" s="9" t="s">
        <v>548</v>
      </c>
      <c r="J125" s="9" t="s">
        <v>553</v>
      </c>
      <c r="K125" s="8" t="s">
        <v>358</v>
      </c>
    </row>
    <row r="126" ht="17.55" spans="1:11">
      <c r="A126" s="7">
        <v>123</v>
      </c>
      <c r="B126" s="1" t="str">
        <f>RIGHT('[1]Rekap Dapur'!I126,8)</f>
        <v>FTZQFECN</v>
      </c>
      <c r="C126" s="13" t="s">
        <v>554</v>
      </c>
      <c r="D126" s="14" t="s">
        <v>322</v>
      </c>
      <c r="E126" s="8" t="str">
        <f t="shared" si="1"/>
        <v>PWM Sumut</v>
      </c>
      <c r="F126" s="13" t="s">
        <v>555</v>
      </c>
      <c r="G126" s="8" t="s">
        <v>556</v>
      </c>
      <c r="H126" s="9" t="s">
        <v>543</v>
      </c>
      <c r="I126" s="9" t="s">
        <v>548</v>
      </c>
      <c r="J126" s="9" t="s">
        <v>557</v>
      </c>
      <c r="K126" s="8" t="s">
        <v>358</v>
      </c>
    </row>
    <row r="127" ht="29.75" spans="1:11">
      <c r="A127" s="7">
        <v>124</v>
      </c>
      <c r="B127" s="1" t="str">
        <f>RIGHT('[1]Rekap Dapur'!I127,8)</f>
        <v>Z3EXT7IZ</v>
      </c>
      <c r="C127" s="13" t="s">
        <v>558</v>
      </c>
      <c r="D127" s="14" t="s">
        <v>279</v>
      </c>
      <c r="E127" s="8" t="str">
        <f t="shared" si="1"/>
        <v>PD Muhamandiyah Serdang Bedagai</v>
      </c>
      <c r="F127" s="13" t="s">
        <v>559</v>
      </c>
      <c r="G127" s="33" t="s">
        <v>560</v>
      </c>
      <c r="H127" s="9" t="s">
        <v>543</v>
      </c>
      <c r="I127" s="9" t="s">
        <v>561</v>
      </c>
      <c r="J127" s="9" t="s">
        <v>562</v>
      </c>
      <c r="K127" s="8" t="s">
        <v>358</v>
      </c>
    </row>
    <row r="128" ht="29.75" spans="1:11">
      <c r="A128" s="7">
        <v>125</v>
      </c>
      <c r="B128" s="1" t="str">
        <f>RIGHT('[1]Rekap Dapur'!I128,8)</f>
        <v>HBCANIH2</v>
      </c>
      <c r="C128" s="13" t="s">
        <v>36</v>
      </c>
      <c r="D128" s="14" t="s">
        <v>37</v>
      </c>
      <c r="E128" s="8" t="str">
        <f t="shared" si="1"/>
        <v>MPM PP Muhammadiyah</v>
      </c>
      <c r="F128" s="13" t="s">
        <v>563</v>
      </c>
      <c r="G128" s="33" t="s">
        <v>564</v>
      </c>
      <c r="H128" s="9" t="s">
        <v>543</v>
      </c>
      <c r="I128" s="9" t="s">
        <v>565</v>
      </c>
      <c r="J128" s="9" t="s">
        <v>566</v>
      </c>
      <c r="K128" s="8" t="s">
        <v>358</v>
      </c>
    </row>
    <row r="129" ht="29.75" spans="1:11">
      <c r="A129" s="7">
        <v>126</v>
      </c>
      <c r="B129" s="1" t="str">
        <f>RIGHT('[1]Rekap Dapur'!I129,8)</f>
        <v>RSWVPBCE</v>
      </c>
      <c r="C129" s="9" t="s">
        <v>567</v>
      </c>
      <c r="D129" s="8" t="s">
        <v>47</v>
      </c>
      <c r="E129" s="8" t="str">
        <f t="shared" si="1"/>
        <v>SMK MUHAMMADIYAH 1 RANGKASBITUNG</v>
      </c>
      <c r="F129" s="9" t="s">
        <v>568</v>
      </c>
      <c r="G129" s="33" t="s">
        <v>569</v>
      </c>
      <c r="H129" s="9" t="s">
        <v>16</v>
      </c>
      <c r="I129" s="9" t="s">
        <v>570</v>
      </c>
      <c r="J129" s="9" t="s">
        <v>571</v>
      </c>
      <c r="K129" s="8" t="s">
        <v>431</v>
      </c>
    </row>
    <row r="130" ht="17.55" spans="1:11">
      <c r="A130" s="7">
        <v>127</v>
      </c>
      <c r="B130" s="1" t="str">
        <f>RIGHT('[1]Rekap Dapur'!I130,8)</f>
        <v>LHLTFR16</v>
      </c>
      <c r="C130" s="9" t="s">
        <v>572</v>
      </c>
      <c r="D130" s="8" t="s">
        <v>13</v>
      </c>
      <c r="E130" s="8" t="str">
        <f t="shared" si="1"/>
        <v>PDM Kota Bengkulu</v>
      </c>
      <c r="F130" s="9" t="s">
        <v>573</v>
      </c>
      <c r="G130" s="33" t="s">
        <v>574</v>
      </c>
      <c r="H130" s="9" t="s">
        <v>575</v>
      </c>
      <c r="I130" s="9" t="s">
        <v>576</v>
      </c>
      <c r="J130" s="9" t="s">
        <v>577</v>
      </c>
      <c r="K130" s="8" t="s">
        <v>431</v>
      </c>
    </row>
    <row r="131" ht="17.55" spans="1:11">
      <c r="A131" s="7">
        <v>128</v>
      </c>
      <c r="B131" s="1" t="str">
        <f>RIGHT('[1]Rekap Dapur'!I131,8)</f>
        <v>2ICPZFU0</v>
      </c>
      <c r="C131" s="9" t="s">
        <v>572</v>
      </c>
      <c r="D131" s="8" t="s">
        <v>13</v>
      </c>
      <c r="E131" s="8" t="str">
        <f t="shared" si="1"/>
        <v>PDM Kota Bengkulu</v>
      </c>
      <c r="F131" s="9" t="s">
        <v>578</v>
      </c>
      <c r="G131" s="33" t="s">
        <v>579</v>
      </c>
      <c r="H131" s="9" t="s">
        <v>575</v>
      </c>
      <c r="I131" s="9" t="s">
        <v>576</v>
      </c>
      <c r="J131" s="9" t="s">
        <v>580</v>
      </c>
      <c r="K131" s="8" t="s">
        <v>431</v>
      </c>
    </row>
    <row r="132" ht="29.75" spans="1:11">
      <c r="A132" s="7">
        <v>129</v>
      </c>
      <c r="B132" s="1" t="str">
        <f>RIGHT('[1]Rekap Dapur'!I132,8)</f>
        <v>NBTIOZKM</v>
      </c>
      <c r="C132" s="9" t="s">
        <v>36</v>
      </c>
      <c r="D132" s="8" t="s">
        <v>37</v>
      </c>
      <c r="E132" s="8" t="str">
        <f t="shared" si="1"/>
        <v>MPM PP Muhammadiyah</v>
      </c>
      <c r="F132" s="9" t="s">
        <v>581</v>
      </c>
      <c r="G132" s="33" t="s">
        <v>582</v>
      </c>
      <c r="H132" s="9" t="s">
        <v>28</v>
      </c>
      <c r="I132" s="9" t="s">
        <v>583</v>
      </c>
      <c r="J132" s="9" t="s">
        <v>584</v>
      </c>
      <c r="K132" s="8" t="s">
        <v>431</v>
      </c>
    </row>
    <row r="133" ht="17.55" spans="1:11">
      <c r="A133" s="7">
        <v>130</v>
      </c>
      <c r="B133" s="1" t="str">
        <f>RIGHT('[1]Rekap Dapur'!I133,8)</f>
        <v>E5RVUXQY</v>
      </c>
      <c r="C133" s="9" t="s">
        <v>585</v>
      </c>
      <c r="D133" s="8" t="s">
        <v>13</v>
      </c>
      <c r="E133" s="8" t="str">
        <f t="shared" ref="E133:E196" si="2">C133</f>
        <v>PDM Bone Bolango</v>
      </c>
      <c r="F133" s="9" t="s">
        <v>586</v>
      </c>
      <c r="G133" s="33" t="s">
        <v>587</v>
      </c>
      <c r="H133" s="9" t="s">
        <v>383</v>
      </c>
      <c r="I133" s="9" t="s">
        <v>588</v>
      </c>
      <c r="J133" s="9" t="s">
        <v>589</v>
      </c>
      <c r="K133" s="8" t="s">
        <v>431</v>
      </c>
    </row>
    <row r="134" ht="17.55" spans="1:11">
      <c r="A134" s="7">
        <v>131</v>
      </c>
      <c r="B134" s="1" t="str">
        <f>RIGHT('[1]Rekap Dapur'!I134,8)</f>
        <v>4FO4BTFU</v>
      </c>
      <c r="C134" s="9" t="s">
        <v>590</v>
      </c>
      <c r="D134" s="8" t="s">
        <v>322</v>
      </c>
      <c r="E134" s="8" t="str">
        <f t="shared" si="2"/>
        <v>PWM Gorontalo</v>
      </c>
      <c r="F134" s="9" t="s">
        <v>591</v>
      </c>
      <c r="G134" s="33" t="s">
        <v>592</v>
      </c>
      <c r="H134" s="9" t="s">
        <v>383</v>
      </c>
      <c r="I134" s="9" t="s">
        <v>593</v>
      </c>
      <c r="J134" s="9" t="s">
        <v>594</v>
      </c>
      <c r="K134" s="8" t="s">
        <v>431</v>
      </c>
    </row>
    <row r="135" ht="17.55" spans="1:11">
      <c r="A135" s="7">
        <v>132</v>
      </c>
      <c r="B135" s="1" t="str">
        <f>RIGHT('[1]Rekap Dapur'!I135,8)</f>
        <v>8CWXODAG</v>
      </c>
      <c r="C135" s="9" t="s">
        <v>595</v>
      </c>
      <c r="D135" s="8" t="s">
        <v>13</v>
      </c>
      <c r="E135" s="8" t="str">
        <f t="shared" si="2"/>
        <v>PDM Indramayu</v>
      </c>
      <c r="F135" s="9" t="s">
        <v>596</v>
      </c>
      <c r="G135" s="33" t="s">
        <v>597</v>
      </c>
      <c r="H135" s="9" t="s">
        <v>64</v>
      </c>
      <c r="I135" s="9" t="s">
        <v>598</v>
      </c>
      <c r="J135" s="9" t="s">
        <v>599</v>
      </c>
      <c r="K135" s="8" t="s">
        <v>431</v>
      </c>
    </row>
    <row r="136" ht="17.55" spans="1:11">
      <c r="A136" s="7">
        <v>133</v>
      </c>
      <c r="B136" s="1" t="str">
        <f>RIGHT('[1]Rekap Dapur'!I136,8)</f>
        <v>LSYRMXCX</v>
      </c>
      <c r="C136" s="9" t="s">
        <v>600</v>
      </c>
      <c r="D136" s="8" t="s">
        <v>47</v>
      </c>
      <c r="E136" s="8" t="str">
        <f t="shared" si="2"/>
        <v>SMA Muhammadiyah 4  Bandung</v>
      </c>
      <c r="F136" s="9" t="s">
        <v>601</v>
      </c>
      <c r="G136" s="33" t="s">
        <v>602</v>
      </c>
      <c r="H136" s="9" t="s">
        <v>64</v>
      </c>
      <c r="I136" s="9" t="s">
        <v>104</v>
      </c>
      <c r="J136" s="9" t="s">
        <v>603</v>
      </c>
      <c r="K136" s="8" t="s">
        <v>431</v>
      </c>
    </row>
    <row r="137" ht="17.55" spans="1:11">
      <c r="A137" s="7">
        <v>134</v>
      </c>
      <c r="B137" s="1" t="str">
        <f>RIGHT('[1]Rekap Dapur'!I137,8)</f>
        <v>OBHA149N</v>
      </c>
      <c r="C137" s="9" t="s">
        <v>604</v>
      </c>
      <c r="D137" s="8" t="s">
        <v>56</v>
      </c>
      <c r="E137" s="8" t="str">
        <f t="shared" si="2"/>
        <v>PD PM Kota Bekasi</v>
      </c>
      <c r="F137" s="9" t="s">
        <v>605</v>
      </c>
      <c r="G137" s="33" t="s">
        <v>606</v>
      </c>
      <c r="H137" s="9" t="s">
        <v>64</v>
      </c>
      <c r="I137" s="9" t="s">
        <v>403</v>
      </c>
      <c r="J137" s="9" t="s">
        <v>404</v>
      </c>
      <c r="K137" s="8" t="s">
        <v>431</v>
      </c>
    </row>
    <row r="138" ht="17.55" spans="1:11">
      <c r="A138" s="7">
        <v>135</v>
      </c>
      <c r="B138" s="1" t="str">
        <f>RIGHT('[1]Rekap Dapur'!I138,8)</f>
        <v>9RV205CO</v>
      </c>
      <c r="C138" s="19" t="s">
        <v>391</v>
      </c>
      <c r="D138" s="8" t="s">
        <v>13</v>
      </c>
      <c r="E138" s="8" t="str">
        <f t="shared" si="2"/>
        <v>PDM Bekasi</v>
      </c>
      <c r="F138" s="9" t="s">
        <v>607</v>
      </c>
      <c r="G138" s="33" t="s">
        <v>608</v>
      </c>
      <c r="H138" s="9" t="s">
        <v>64</v>
      </c>
      <c r="I138" s="9" t="s">
        <v>394</v>
      </c>
      <c r="J138" s="9" t="s">
        <v>609</v>
      </c>
      <c r="K138" s="8" t="s">
        <v>431</v>
      </c>
    </row>
    <row r="139" ht="17.55" spans="1:11">
      <c r="A139" s="7">
        <v>136</v>
      </c>
      <c r="B139" s="1" t="str">
        <f>RIGHT('[1]Rekap Dapur'!I139,8)</f>
        <v>TFMDOBI5</v>
      </c>
      <c r="C139" s="19" t="s">
        <v>391</v>
      </c>
      <c r="D139" s="8" t="s">
        <v>13</v>
      </c>
      <c r="E139" s="8" t="str">
        <f t="shared" si="2"/>
        <v>PDM Bekasi</v>
      </c>
      <c r="F139" s="9" t="s">
        <v>610</v>
      </c>
      <c r="G139" s="33" t="s">
        <v>611</v>
      </c>
      <c r="H139" s="9" t="s">
        <v>64</v>
      </c>
      <c r="I139" s="9" t="s">
        <v>394</v>
      </c>
      <c r="J139" s="9" t="s">
        <v>612</v>
      </c>
      <c r="K139" s="8" t="s">
        <v>431</v>
      </c>
    </row>
    <row r="140" ht="17.55" spans="1:11">
      <c r="A140" s="7">
        <v>137</v>
      </c>
      <c r="B140" s="1" t="str">
        <f>RIGHT('[1]Rekap Dapur'!I140,8)</f>
        <v>BAWFWXGG</v>
      </c>
      <c r="C140" s="9" t="s">
        <v>613</v>
      </c>
      <c r="D140" s="8" t="s">
        <v>47</v>
      </c>
      <c r="E140" s="8" t="str">
        <f t="shared" si="2"/>
        <v>MA Muhammadiyah Bojot</v>
      </c>
      <c r="F140" s="9" t="s">
        <v>614</v>
      </c>
      <c r="G140" s="33" t="s">
        <v>615</v>
      </c>
      <c r="H140" s="9" t="s">
        <v>64</v>
      </c>
      <c r="I140" s="9" t="s">
        <v>75</v>
      </c>
      <c r="J140" s="9" t="s">
        <v>616</v>
      </c>
      <c r="K140" s="8" t="s">
        <v>431</v>
      </c>
    </row>
    <row r="141" ht="29.75" spans="1:11">
      <c r="A141" s="7">
        <v>138</v>
      </c>
      <c r="B141" s="1" t="str">
        <f>RIGHT('[1]Rekap Dapur'!I141,8)</f>
        <v>BUQUDQKF</v>
      </c>
      <c r="C141" s="9" t="s">
        <v>617</v>
      </c>
      <c r="D141" s="8" t="s">
        <v>47</v>
      </c>
      <c r="E141" s="8" t="str">
        <f t="shared" si="2"/>
        <v>MAS Muhammadiyah "PLUS" Cisaat</v>
      </c>
      <c r="F141" s="9" t="s">
        <v>618</v>
      </c>
      <c r="G141" s="33" t="s">
        <v>619</v>
      </c>
      <c r="H141" s="9" t="s">
        <v>64</v>
      </c>
      <c r="I141" s="9" t="s">
        <v>75</v>
      </c>
      <c r="J141" s="9" t="s">
        <v>620</v>
      </c>
      <c r="K141" s="8" t="s">
        <v>431</v>
      </c>
    </row>
    <row r="142" ht="17.55" spans="1:11">
      <c r="A142" s="7">
        <v>139</v>
      </c>
      <c r="B142" s="1" t="str">
        <f>RIGHT('[1]Rekap Dapur'!I142,8)</f>
        <v>KUXH6MD5</v>
      </c>
      <c r="C142" s="9" t="s">
        <v>621</v>
      </c>
      <c r="D142" s="8" t="s">
        <v>47</v>
      </c>
      <c r="E142" s="8" t="str">
        <f t="shared" si="2"/>
        <v>SMK Muhammadiyah Cibiuk</v>
      </c>
      <c r="F142" s="9" t="s">
        <v>622</v>
      </c>
      <c r="G142" s="33" t="s">
        <v>623</v>
      </c>
      <c r="H142" s="9" t="s">
        <v>64</v>
      </c>
      <c r="I142" s="9" t="s">
        <v>75</v>
      </c>
      <c r="J142" s="9" t="s">
        <v>624</v>
      </c>
      <c r="K142" s="8" t="s">
        <v>431</v>
      </c>
    </row>
    <row r="143" ht="29.75" spans="1:11">
      <c r="A143" s="7">
        <v>140</v>
      </c>
      <c r="B143" s="1" t="str">
        <f>RIGHT('[1]Rekap Dapur'!I143,8)</f>
        <v>R4XU7GDT</v>
      </c>
      <c r="C143" s="9" t="s">
        <v>625</v>
      </c>
      <c r="D143" s="8" t="s">
        <v>47</v>
      </c>
      <c r="E143" s="8" t="str">
        <f t="shared" si="2"/>
        <v>SMK Muhammadiyah Karangampel</v>
      </c>
      <c r="F143" s="9" t="s">
        <v>626</v>
      </c>
      <c r="G143" s="33" t="s">
        <v>627</v>
      </c>
      <c r="H143" s="9" t="s">
        <v>64</v>
      </c>
      <c r="I143" s="9" t="s">
        <v>598</v>
      </c>
      <c r="J143" s="9" t="s">
        <v>628</v>
      </c>
      <c r="K143" s="8" t="s">
        <v>431</v>
      </c>
    </row>
    <row r="144" ht="17.55" spans="1:11">
      <c r="A144" s="7">
        <v>141</v>
      </c>
      <c r="B144" s="1" t="str">
        <f>RIGHT('[1]Rekap Dapur'!I144,8)</f>
        <v>EBYUPBEA</v>
      </c>
      <c r="C144" s="9" t="s">
        <v>629</v>
      </c>
      <c r="D144" s="8" t="s">
        <v>13</v>
      </c>
      <c r="E144" s="8" t="str">
        <f t="shared" si="2"/>
        <v>PDM Bandung</v>
      </c>
      <c r="F144" s="9" t="s">
        <v>630</v>
      </c>
      <c r="G144" s="33" t="s">
        <v>631</v>
      </c>
      <c r="H144" s="9" t="s">
        <v>64</v>
      </c>
      <c r="I144" s="9" t="s">
        <v>632</v>
      </c>
      <c r="J144" s="9" t="s">
        <v>633</v>
      </c>
      <c r="K144" s="8" t="s">
        <v>431</v>
      </c>
    </row>
    <row r="145" ht="17.55" spans="1:11">
      <c r="A145" s="7">
        <v>142</v>
      </c>
      <c r="B145" s="1" t="str">
        <f>RIGHT('[1]Rekap Dapur'!I145,8)</f>
        <v>S98F6IPY</v>
      </c>
      <c r="C145" s="9" t="s">
        <v>391</v>
      </c>
      <c r="D145" s="8" t="s">
        <v>13</v>
      </c>
      <c r="E145" s="8" t="str">
        <f t="shared" si="2"/>
        <v>PDM Bekasi</v>
      </c>
      <c r="F145" s="9" t="s">
        <v>634</v>
      </c>
      <c r="G145" s="33" t="s">
        <v>635</v>
      </c>
      <c r="H145" s="9" t="s">
        <v>64</v>
      </c>
      <c r="I145" s="9" t="s">
        <v>636</v>
      </c>
      <c r="J145" s="9" t="s">
        <v>612</v>
      </c>
      <c r="K145" s="8" t="s">
        <v>431</v>
      </c>
    </row>
    <row r="146" ht="17.55" spans="1:11">
      <c r="A146" s="7">
        <v>143</v>
      </c>
      <c r="B146" s="1" t="str">
        <f>RIGHT('[1]Rekap Dapur'!I146,8)</f>
        <v>KPOFRTNC</v>
      </c>
      <c r="C146" s="9" t="s">
        <v>637</v>
      </c>
      <c r="D146" s="8" t="s">
        <v>149</v>
      </c>
      <c r="E146" s="8" t="str">
        <f t="shared" si="2"/>
        <v>PCM Cilengsi</v>
      </c>
      <c r="F146" s="9" t="s">
        <v>638</v>
      </c>
      <c r="G146" s="33" t="s">
        <v>639</v>
      </c>
      <c r="H146" s="9" t="s">
        <v>64</v>
      </c>
      <c r="I146" s="9" t="s">
        <v>640</v>
      </c>
      <c r="J146" s="9" t="s">
        <v>641</v>
      </c>
      <c r="K146" s="8" t="s">
        <v>431</v>
      </c>
    </row>
    <row r="147" ht="17.55" spans="1:11">
      <c r="A147" s="7">
        <v>144</v>
      </c>
      <c r="B147" s="1" t="str">
        <f>RIGHT('[1]Rekap Dapur'!I147,8)</f>
        <v>SJQ3FLID</v>
      </c>
      <c r="C147" s="9" t="s">
        <v>642</v>
      </c>
      <c r="D147" s="8" t="s">
        <v>149</v>
      </c>
      <c r="E147" s="8" t="str">
        <f t="shared" si="2"/>
        <v>PCM Tawang</v>
      </c>
      <c r="F147" s="9" t="s">
        <v>643</v>
      </c>
      <c r="G147" s="33" t="s">
        <v>644</v>
      </c>
      <c r="H147" s="9" t="s">
        <v>64</v>
      </c>
      <c r="I147" s="9" t="s">
        <v>645</v>
      </c>
      <c r="J147" s="9" t="s">
        <v>646</v>
      </c>
      <c r="K147" s="8" t="s">
        <v>431</v>
      </c>
    </row>
    <row r="148" ht="17.55" spans="1:11">
      <c r="A148" s="7">
        <v>145</v>
      </c>
      <c r="B148" s="1" t="str">
        <f>RIGHT('[1]Rekap Dapur'!I148,8)</f>
        <v>BTCNN998</v>
      </c>
      <c r="C148" s="9" t="s">
        <v>647</v>
      </c>
      <c r="D148" s="8" t="s">
        <v>13</v>
      </c>
      <c r="E148" s="8" t="str">
        <f t="shared" si="2"/>
        <v>PDM Banyumas</v>
      </c>
      <c r="F148" s="9" t="s">
        <v>648</v>
      </c>
      <c r="G148" s="33" t="s">
        <v>649</v>
      </c>
      <c r="H148" s="9" t="s">
        <v>117</v>
      </c>
      <c r="I148" s="9" t="s">
        <v>650</v>
      </c>
      <c r="J148" s="9" t="s">
        <v>651</v>
      </c>
      <c r="K148" s="8" t="s">
        <v>431</v>
      </c>
    </row>
    <row r="149" ht="17.55" spans="1:11">
      <c r="A149" s="7">
        <v>146</v>
      </c>
      <c r="B149" s="1" t="str">
        <f>RIGHT('[1]Rekap Dapur'!I149,8)</f>
        <v>RQN0FAWW</v>
      </c>
      <c r="C149" s="9" t="s">
        <v>652</v>
      </c>
      <c r="D149" s="8" t="s">
        <v>149</v>
      </c>
      <c r="E149" s="8" t="str">
        <f t="shared" si="2"/>
        <v>PCM Petanahan</v>
      </c>
      <c r="F149" s="9" t="s">
        <v>653</v>
      </c>
      <c r="G149" s="33" t="s">
        <v>654</v>
      </c>
      <c r="H149" s="9" t="s">
        <v>117</v>
      </c>
      <c r="I149" s="9" t="s">
        <v>435</v>
      </c>
      <c r="J149" s="9" t="s">
        <v>655</v>
      </c>
      <c r="K149" s="8" t="s">
        <v>431</v>
      </c>
    </row>
    <row r="150" ht="17.55" spans="1:11">
      <c r="A150" s="7">
        <v>147</v>
      </c>
      <c r="B150" s="1" t="str">
        <f>RIGHT('[1]Rekap Dapur'!I150,8)</f>
        <v>MTRHHFOO</v>
      </c>
      <c r="C150" s="9" t="s">
        <v>437</v>
      </c>
      <c r="D150" s="8" t="s">
        <v>13</v>
      </c>
      <c r="E150" s="8" t="str">
        <f t="shared" si="2"/>
        <v>PDM Kota Tegal</v>
      </c>
      <c r="F150" s="9" t="s">
        <v>656</v>
      </c>
      <c r="G150" s="33" t="s">
        <v>657</v>
      </c>
      <c r="H150" s="9" t="s">
        <v>407</v>
      </c>
      <c r="I150" s="9" t="s">
        <v>440</v>
      </c>
      <c r="J150" s="9" t="s">
        <v>658</v>
      </c>
      <c r="K150" s="8" t="s">
        <v>431</v>
      </c>
    </row>
    <row r="151" ht="17.55" spans="1:11">
      <c r="A151" s="7">
        <v>148</v>
      </c>
      <c r="B151" s="1" t="str">
        <f>RIGHT('[1]Rekap Dapur'!I151,8)</f>
        <v>XANFD28W</v>
      </c>
      <c r="C151" s="9" t="s">
        <v>114</v>
      </c>
      <c r="D151" s="8" t="s">
        <v>13</v>
      </c>
      <c r="E151" s="8" t="str">
        <f t="shared" si="2"/>
        <v>PDM Banjarnegara</v>
      </c>
      <c r="F151" s="9" t="s">
        <v>659</v>
      </c>
      <c r="G151" s="33" t="s">
        <v>660</v>
      </c>
      <c r="H151" s="9" t="s">
        <v>117</v>
      </c>
      <c r="I151" s="9" t="s">
        <v>118</v>
      </c>
      <c r="J151" s="9" t="s">
        <v>661</v>
      </c>
      <c r="K151" s="8" t="s">
        <v>431</v>
      </c>
    </row>
    <row r="152" ht="17.55" spans="1:11">
      <c r="A152" s="7">
        <v>149</v>
      </c>
      <c r="B152" s="1" t="str">
        <f>RIGHT('[1]Rekap Dapur'!I152,8)</f>
        <v>HTSAWHMC</v>
      </c>
      <c r="C152" s="9" t="s">
        <v>114</v>
      </c>
      <c r="D152" s="8" t="s">
        <v>13</v>
      </c>
      <c r="E152" s="8" t="str">
        <f t="shared" si="2"/>
        <v>PDM Banjarnegara</v>
      </c>
      <c r="F152" s="9" t="s">
        <v>662</v>
      </c>
      <c r="G152" s="33" t="s">
        <v>663</v>
      </c>
      <c r="H152" s="9" t="s">
        <v>117</v>
      </c>
      <c r="I152" s="9" t="s">
        <v>118</v>
      </c>
      <c r="J152" s="9" t="s">
        <v>118</v>
      </c>
      <c r="K152" s="8" t="s">
        <v>431</v>
      </c>
    </row>
    <row r="153" ht="17.55" spans="1:11">
      <c r="A153" s="7">
        <v>150</v>
      </c>
      <c r="B153" s="1" t="str">
        <f>RIGHT('[1]Rekap Dapur'!I153,8)</f>
        <v>BWDBSSWD</v>
      </c>
      <c r="C153" s="9" t="s">
        <v>114</v>
      </c>
      <c r="D153" s="8" t="s">
        <v>13</v>
      </c>
      <c r="E153" s="8" t="str">
        <f t="shared" si="2"/>
        <v>PDM Banjarnegara</v>
      </c>
      <c r="F153" s="9" t="s">
        <v>664</v>
      </c>
      <c r="G153" s="33" t="s">
        <v>665</v>
      </c>
      <c r="H153" s="9" t="s">
        <v>117</v>
      </c>
      <c r="I153" s="9" t="s">
        <v>118</v>
      </c>
      <c r="J153" s="9" t="s">
        <v>666</v>
      </c>
      <c r="K153" s="8" t="s">
        <v>431</v>
      </c>
    </row>
    <row r="154" ht="17.55" spans="1:11">
      <c r="A154" s="7">
        <v>151</v>
      </c>
      <c r="B154" s="1" t="str">
        <f>RIGHT('[1]Rekap Dapur'!I154,8)</f>
        <v>KKUCLGVS</v>
      </c>
      <c r="C154" s="9" t="s">
        <v>667</v>
      </c>
      <c r="D154" s="8" t="s">
        <v>149</v>
      </c>
      <c r="E154" s="8" t="str">
        <f t="shared" si="2"/>
        <v>PCM PURWOKERTO TIMUR</v>
      </c>
      <c r="F154" s="20" t="s">
        <v>668</v>
      </c>
      <c r="G154" s="37" t="s">
        <v>669</v>
      </c>
      <c r="H154" s="9" t="s">
        <v>117</v>
      </c>
      <c r="I154" s="9" t="s">
        <v>650</v>
      </c>
      <c r="J154" s="9" t="s">
        <v>670</v>
      </c>
      <c r="K154" s="8" t="s">
        <v>431</v>
      </c>
    </row>
    <row r="155" ht="17.55" spans="1:11">
      <c r="A155" s="7">
        <v>152</v>
      </c>
      <c r="B155" s="1" t="str">
        <f>RIGHT('[1]Rekap Dapur'!I155,8)</f>
        <v>EMA7NRR4</v>
      </c>
      <c r="C155" s="9" t="s">
        <v>671</v>
      </c>
      <c r="D155" s="8" t="s">
        <v>149</v>
      </c>
      <c r="E155" s="8" t="str">
        <f t="shared" si="2"/>
        <v>PCM Sumbang</v>
      </c>
      <c r="F155" s="9" t="s">
        <v>672</v>
      </c>
      <c r="G155" s="33" t="s">
        <v>673</v>
      </c>
      <c r="H155" s="9" t="s">
        <v>117</v>
      </c>
      <c r="I155" s="9" t="s">
        <v>650</v>
      </c>
      <c r="J155" s="9" t="s">
        <v>674</v>
      </c>
      <c r="K155" s="8" t="s">
        <v>431</v>
      </c>
    </row>
    <row r="156" ht="17.55" spans="1:11">
      <c r="A156" s="7">
        <v>153</v>
      </c>
      <c r="B156" s="1" t="str">
        <f>RIGHT('[1]Rekap Dapur'!I156,8)</f>
        <v>PZ09FHC7</v>
      </c>
      <c r="C156" s="9" t="s">
        <v>675</v>
      </c>
      <c r="D156" s="8" t="s">
        <v>149</v>
      </c>
      <c r="E156" s="8" t="str">
        <f t="shared" si="2"/>
        <v>PCM JATI</v>
      </c>
      <c r="F156" s="9" t="s">
        <v>676</v>
      </c>
      <c r="G156" s="33" t="s">
        <v>677</v>
      </c>
      <c r="H156" s="9" t="s">
        <v>117</v>
      </c>
      <c r="I156" s="9" t="s">
        <v>678</v>
      </c>
      <c r="J156" s="9" t="s">
        <v>679</v>
      </c>
      <c r="K156" s="8" t="s">
        <v>431</v>
      </c>
    </row>
    <row r="157" ht="17.55" spans="1:11">
      <c r="A157" s="7">
        <v>154</v>
      </c>
      <c r="B157" s="1" t="str">
        <f>RIGHT('[1]Rekap Dapur'!I157,8)</f>
        <v>YBE9WBSZ</v>
      </c>
      <c r="C157" s="9" t="s">
        <v>415</v>
      </c>
      <c r="D157" s="8" t="s">
        <v>13</v>
      </c>
      <c r="E157" s="8" t="str">
        <f t="shared" si="2"/>
        <v>PDM Boyolali</v>
      </c>
      <c r="F157" s="9" t="s">
        <v>680</v>
      </c>
      <c r="G157" s="33" t="s">
        <v>681</v>
      </c>
      <c r="H157" s="9" t="s">
        <v>117</v>
      </c>
      <c r="I157" s="9" t="s">
        <v>418</v>
      </c>
      <c r="J157" s="9" t="s">
        <v>682</v>
      </c>
      <c r="K157" s="8" t="s">
        <v>431</v>
      </c>
    </row>
    <row r="158" ht="17.55" spans="1:11">
      <c r="A158" s="7">
        <v>155</v>
      </c>
      <c r="B158" s="1" t="str">
        <f>RIGHT('[1]Rekap Dapur'!I158,8)</f>
        <v>KGPK3K ·</v>
      </c>
      <c r="C158" s="9" t="s">
        <v>683</v>
      </c>
      <c r="D158" s="8" t="s">
        <v>149</v>
      </c>
      <c r="E158" s="8" t="str">
        <f t="shared" si="2"/>
        <v>PCM Wonosalam</v>
      </c>
      <c r="F158" s="9" t="s">
        <v>684</v>
      </c>
      <c r="G158" s="33" t="s">
        <v>685</v>
      </c>
      <c r="H158" s="9" t="s">
        <v>117</v>
      </c>
      <c r="I158" s="9" t="s">
        <v>423</v>
      </c>
      <c r="J158" s="9" t="s">
        <v>686</v>
      </c>
      <c r="K158" s="8" t="s">
        <v>431</v>
      </c>
    </row>
    <row r="159" ht="29.75" spans="1:11">
      <c r="A159" s="7">
        <v>156</v>
      </c>
      <c r="B159" s="1" t="str">
        <f>RIGHT('[1]Rekap Dapur'!I159,8)</f>
        <v>ND0SKXEJ</v>
      </c>
      <c r="C159" s="9" t="s">
        <v>687</v>
      </c>
      <c r="D159" s="8" t="s">
        <v>149</v>
      </c>
      <c r="E159" s="8" t="str">
        <f t="shared" si="2"/>
        <v>PCM Demak</v>
      </c>
      <c r="F159" s="9" t="s">
        <v>688</v>
      </c>
      <c r="G159" s="33" t="s">
        <v>689</v>
      </c>
      <c r="H159" s="9" t="s">
        <v>117</v>
      </c>
      <c r="I159" s="9" t="s">
        <v>423</v>
      </c>
      <c r="J159" s="9" t="s">
        <v>423</v>
      </c>
      <c r="K159" s="8" t="s">
        <v>431</v>
      </c>
    </row>
    <row r="160" ht="17.55" spans="1:11">
      <c r="A160" s="7">
        <v>157</v>
      </c>
      <c r="B160" s="1" t="str">
        <f>RIGHT('[1]Rekap Dapur'!I160,8)</f>
        <v>WN6I38HZ</v>
      </c>
      <c r="C160" s="19" t="s">
        <v>131</v>
      </c>
      <c r="D160" s="8" t="s">
        <v>13</v>
      </c>
      <c r="E160" s="8" t="str">
        <f t="shared" si="2"/>
        <v>PDM Grobogan</v>
      </c>
      <c r="F160" s="9" t="s">
        <v>690</v>
      </c>
      <c r="G160" s="33" t="s">
        <v>691</v>
      </c>
      <c r="H160" s="9" t="s">
        <v>117</v>
      </c>
      <c r="I160" s="9" t="s">
        <v>134</v>
      </c>
      <c r="J160" s="9" t="s">
        <v>692</v>
      </c>
      <c r="K160" s="8" t="s">
        <v>431</v>
      </c>
    </row>
    <row r="161" ht="17.55" spans="1:11">
      <c r="A161" s="7">
        <v>158</v>
      </c>
      <c r="B161" s="1" t="str">
        <f>RIGHT('[1]Rekap Dapur'!I161,8)</f>
        <v>JQQ8ZHRK</v>
      </c>
      <c r="C161" s="19" t="s">
        <v>131</v>
      </c>
      <c r="D161" s="8" t="s">
        <v>13</v>
      </c>
      <c r="E161" s="8" t="str">
        <f t="shared" si="2"/>
        <v>PDM Grobogan</v>
      </c>
      <c r="F161" s="9" t="s">
        <v>693</v>
      </c>
      <c r="G161" s="33" t="s">
        <v>694</v>
      </c>
      <c r="H161" s="9" t="s">
        <v>117</v>
      </c>
      <c r="I161" s="9" t="s">
        <v>134</v>
      </c>
      <c r="J161" s="9" t="s">
        <v>695</v>
      </c>
      <c r="K161" s="8" t="s">
        <v>431</v>
      </c>
    </row>
    <row r="162" ht="17.55" spans="1:11">
      <c r="A162" s="7">
        <v>159</v>
      </c>
      <c r="B162" s="1" t="str">
        <f>RIGHT('[1]Rekap Dapur'!I162,8)</f>
        <v>MYDWEPG3</v>
      </c>
      <c r="C162" s="19" t="s">
        <v>131</v>
      </c>
      <c r="D162" s="8" t="s">
        <v>13</v>
      </c>
      <c r="E162" s="8" t="str">
        <f t="shared" si="2"/>
        <v>PDM Grobogan</v>
      </c>
      <c r="F162" s="9" t="s">
        <v>696</v>
      </c>
      <c r="G162" s="8">
        <v>85713420805</v>
      </c>
      <c r="H162" s="9" t="s">
        <v>117</v>
      </c>
      <c r="I162" s="9" t="s">
        <v>134</v>
      </c>
      <c r="J162" s="9" t="s">
        <v>697</v>
      </c>
      <c r="K162" s="8" t="s">
        <v>431</v>
      </c>
    </row>
    <row r="163" ht="17.55" spans="1:11">
      <c r="A163" s="7">
        <v>160</v>
      </c>
      <c r="B163" s="1" t="str">
        <f>RIGHT('[1]Rekap Dapur'!I163,8)</f>
        <v>OPDE9K9M</v>
      </c>
      <c r="C163" s="19" t="s">
        <v>131</v>
      </c>
      <c r="D163" s="8" t="s">
        <v>13</v>
      </c>
      <c r="E163" s="8" t="str">
        <f t="shared" si="2"/>
        <v>PDM Grobogan</v>
      </c>
      <c r="F163" s="9" t="s">
        <v>698</v>
      </c>
      <c r="G163" s="8">
        <v>82141537893</v>
      </c>
      <c r="H163" s="9" t="s">
        <v>117</v>
      </c>
      <c r="I163" s="9" t="s">
        <v>134</v>
      </c>
      <c r="J163" s="9" t="s">
        <v>699</v>
      </c>
      <c r="K163" s="8" t="s">
        <v>431</v>
      </c>
    </row>
    <row r="164" ht="17.55" spans="1:11">
      <c r="A164" s="7">
        <v>161</v>
      </c>
      <c r="B164" s="1" t="str">
        <f>RIGHT('[1]Rekap Dapur'!I164,8)</f>
        <v>UUR1ARSL</v>
      </c>
      <c r="C164" s="19" t="s">
        <v>131</v>
      </c>
      <c r="D164" s="8" t="s">
        <v>13</v>
      </c>
      <c r="E164" s="8" t="str">
        <f t="shared" si="2"/>
        <v>PDM Grobogan</v>
      </c>
      <c r="F164" s="9" t="s">
        <v>700</v>
      </c>
      <c r="G164" s="8">
        <v>85225018689</v>
      </c>
      <c r="H164" s="9" t="s">
        <v>117</v>
      </c>
      <c r="I164" s="9" t="s">
        <v>134</v>
      </c>
      <c r="J164" s="9" t="s">
        <v>701</v>
      </c>
      <c r="K164" s="8" t="s">
        <v>431</v>
      </c>
    </row>
    <row r="165" ht="17.55" spans="1:11">
      <c r="A165" s="7">
        <v>162</v>
      </c>
      <c r="B165" s="1" t="str">
        <f>RIGHT('[1]Rekap Dapur'!I165,8)</f>
        <v>HEWO8RUZ</v>
      </c>
      <c r="C165" s="19" t="s">
        <v>131</v>
      </c>
      <c r="D165" s="8" t="s">
        <v>13</v>
      </c>
      <c r="E165" s="8" t="str">
        <f t="shared" si="2"/>
        <v>PDM Grobogan</v>
      </c>
      <c r="F165" s="9" t="s">
        <v>702</v>
      </c>
      <c r="G165" s="8">
        <v>81225582584</v>
      </c>
      <c r="H165" s="9" t="s">
        <v>117</v>
      </c>
      <c r="I165" s="9" t="s">
        <v>134</v>
      </c>
      <c r="J165" s="9" t="s">
        <v>703</v>
      </c>
      <c r="K165" s="8" t="s">
        <v>431</v>
      </c>
    </row>
    <row r="166" ht="17.55" spans="1:11">
      <c r="A166" s="7">
        <v>163</v>
      </c>
      <c r="B166" s="1" t="str">
        <f>RIGHT('[1]Rekap Dapur'!I166,8)</f>
        <v>9WE0OMAT</v>
      </c>
      <c r="C166" s="19" t="s">
        <v>139</v>
      </c>
      <c r="D166" s="8" t="s">
        <v>13</v>
      </c>
      <c r="E166" s="8" t="str">
        <f t="shared" si="2"/>
        <v>PDM Jepara</v>
      </c>
      <c r="F166" s="9" t="s">
        <v>704</v>
      </c>
      <c r="G166" s="8">
        <v>81328384666</v>
      </c>
      <c r="H166" s="9" t="s">
        <v>407</v>
      </c>
      <c r="I166" s="9" t="s">
        <v>142</v>
      </c>
      <c r="J166" s="9" t="s">
        <v>705</v>
      </c>
      <c r="K166" s="8" t="s">
        <v>431</v>
      </c>
    </row>
    <row r="167" ht="17.55" spans="1:11">
      <c r="A167" s="7">
        <v>164</v>
      </c>
      <c r="B167" s="1" t="str">
        <f>RIGHT('[1]Rekap Dapur'!I167,8)</f>
        <v>Z1ILNYBO</v>
      </c>
      <c r="C167" s="19" t="s">
        <v>139</v>
      </c>
      <c r="D167" s="8" t="s">
        <v>13</v>
      </c>
      <c r="E167" s="8" t="str">
        <f t="shared" si="2"/>
        <v>PDM Jepara</v>
      </c>
      <c r="F167" s="9" t="s">
        <v>706</v>
      </c>
      <c r="G167" s="8">
        <v>81325527627</v>
      </c>
      <c r="H167" s="9" t="s">
        <v>117</v>
      </c>
      <c r="I167" s="9" t="s">
        <v>142</v>
      </c>
      <c r="J167" s="9" t="s">
        <v>707</v>
      </c>
      <c r="K167" s="8" t="s">
        <v>431</v>
      </c>
    </row>
    <row r="168" ht="17.55" spans="1:11">
      <c r="A168" s="7">
        <v>165</v>
      </c>
      <c r="B168" s="1" t="str">
        <f>RIGHT('[1]Rekap Dapur'!I168,8)</f>
        <v>WBR6WIFM</v>
      </c>
      <c r="C168" s="19" t="s">
        <v>139</v>
      </c>
      <c r="D168" s="8" t="s">
        <v>13</v>
      </c>
      <c r="E168" s="8" t="str">
        <f t="shared" si="2"/>
        <v>PDM Jepara</v>
      </c>
      <c r="F168" s="11" t="s">
        <v>708</v>
      </c>
      <c r="G168" s="34" t="s">
        <v>709</v>
      </c>
      <c r="H168" s="9" t="s">
        <v>117</v>
      </c>
      <c r="I168" s="9" t="s">
        <v>142</v>
      </c>
      <c r="J168" s="9" t="s">
        <v>707</v>
      </c>
      <c r="K168" s="8" t="s">
        <v>431</v>
      </c>
    </row>
    <row r="169" ht="17.55" spans="1:11">
      <c r="A169" s="7">
        <v>166</v>
      </c>
      <c r="B169" s="1" t="str">
        <f>RIGHT('[1]Rekap Dapur'!I169,8)</f>
        <v>BVRYNLDB</v>
      </c>
      <c r="C169" s="19" t="s">
        <v>139</v>
      </c>
      <c r="D169" s="8" t="s">
        <v>13</v>
      </c>
      <c r="E169" s="8" t="str">
        <f t="shared" si="2"/>
        <v>PDM Jepara</v>
      </c>
      <c r="F169" s="9" t="s">
        <v>710</v>
      </c>
      <c r="G169" s="8">
        <v>81325521423</v>
      </c>
      <c r="H169" s="9" t="s">
        <v>117</v>
      </c>
      <c r="I169" s="9" t="s">
        <v>142</v>
      </c>
      <c r="J169" s="9" t="s">
        <v>711</v>
      </c>
      <c r="K169" s="8" t="s">
        <v>431</v>
      </c>
    </row>
    <row r="170" ht="17.55" spans="1:11">
      <c r="A170" s="7">
        <v>167</v>
      </c>
      <c r="B170" s="1" t="str">
        <f>RIGHT('[1]Rekap Dapur'!I170,8)</f>
        <v>YHOQTQ79</v>
      </c>
      <c r="C170" s="19" t="s">
        <v>712</v>
      </c>
      <c r="D170" s="8" t="s">
        <v>149</v>
      </c>
      <c r="E170" s="8" t="str">
        <f t="shared" si="2"/>
        <v>PCM Salam</v>
      </c>
      <c r="F170" s="9" t="s">
        <v>713</v>
      </c>
      <c r="G170" s="8">
        <v>82138700810</v>
      </c>
      <c r="H170" s="9" t="s">
        <v>117</v>
      </c>
      <c r="I170" s="9" t="s">
        <v>152</v>
      </c>
      <c r="J170" s="9" t="s">
        <v>714</v>
      </c>
      <c r="K170" s="8" t="s">
        <v>431</v>
      </c>
    </row>
    <row r="171" ht="17.55" spans="1:11">
      <c r="A171" s="7">
        <v>168</v>
      </c>
      <c r="B171" s="1" t="str">
        <f>RIGHT('[1]Rekap Dapur'!I171,8)</f>
        <v>1TDPXH1J</v>
      </c>
      <c r="C171" s="19" t="s">
        <v>715</v>
      </c>
      <c r="D171" s="8" t="s">
        <v>149</v>
      </c>
      <c r="E171" s="8" t="str">
        <f t="shared" si="2"/>
        <v>PCM Borobudur</v>
      </c>
      <c r="F171" s="9" t="s">
        <v>716</v>
      </c>
      <c r="G171" s="8">
        <v>82325439320</v>
      </c>
      <c r="H171" s="9" t="s">
        <v>117</v>
      </c>
      <c r="I171" s="9" t="s">
        <v>152</v>
      </c>
      <c r="J171" s="9" t="s">
        <v>717</v>
      </c>
      <c r="K171" s="8" t="s">
        <v>431</v>
      </c>
    </row>
    <row r="172" ht="17.55" spans="1:11">
      <c r="A172" s="7">
        <v>169</v>
      </c>
      <c r="B172" s="1" t="str">
        <f>RIGHT('[1]Rekap Dapur'!I172,8)</f>
        <v>5XWOQFP8</v>
      </c>
      <c r="C172" s="19" t="s">
        <v>718</v>
      </c>
      <c r="D172" s="8" t="s">
        <v>13</v>
      </c>
      <c r="E172" s="8" t="str">
        <f t="shared" si="2"/>
        <v>PDM Tegal</v>
      </c>
      <c r="F172" s="9" t="s">
        <v>719</v>
      </c>
      <c r="G172" s="8">
        <v>81227939281</v>
      </c>
      <c r="H172" s="9" t="s">
        <v>117</v>
      </c>
      <c r="I172" s="9" t="s">
        <v>720</v>
      </c>
      <c r="J172" s="9" t="s">
        <v>721</v>
      </c>
      <c r="K172" s="8" t="s">
        <v>431</v>
      </c>
    </row>
    <row r="173" ht="17.55" spans="1:11">
      <c r="A173" s="7">
        <v>170</v>
      </c>
      <c r="B173" s="1" t="str">
        <f>RIGHT('[1]Rekap Dapur'!I173,8)</f>
        <v>ZGLIMQ8A</v>
      </c>
      <c r="C173" s="9" t="s">
        <v>722</v>
      </c>
      <c r="D173" s="8" t="s">
        <v>723</v>
      </c>
      <c r="E173" s="8" t="str">
        <f t="shared" si="2"/>
        <v>RS PKU Muhammadiyah Sruweng</v>
      </c>
      <c r="F173" s="9" t="s">
        <v>724</v>
      </c>
      <c r="G173" s="8">
        <v>81226938888</v>
      </c>
      <c r="H173" s="9" t="s">
        <v>117</v>
      </c>
      <c r="I173" s="9" t="s">
        <v>435</v>
      </c>
      <c r="J173" s="9" t="s">
        <v>725</v>
      </c>
      <c r="K173" s="8" t="s">
        <v>431</v>
      </c>
    </row>
    <row r="174" ht="48" customHeight="1" spans="1:11">
      <c r="A174" s="7">
        <v>171</v>
      </c>
      <c r="B174" s="1" t="str">
        <f>RIGHT('[1]Rekap Dapur'!I174,8)</f>
        <v>EKEH0OY4</v>
      </c>
      <c r="C174" s="9" t="s">
        <v>726</v>
      </c>
      <c r="D174" s="8" t="s">
        <v>37</v>
      </c>
      <c r="E174" s="8" t="str">
        <f t="shared" si="2"/>
        <v>Kendal (MPM PP Muhammadiyah)</v>
      </c>
      <c r="F174" s="9" t="s">
        <v>727</v>
      </c>
      <c r="G174" s="8">
        <v>81226390635</v>
      </c>
      <c r="H174" s="9" t="s">
        <v>117</v>
      </c>
      <c r="I174" s="9" t="s">
        <v>728</v>
      </c>
      <c r="J174" s="9" t="s">
        <v>729</v>
      </c>
      <c r="K174" s="8" t="s">
        <v>431</v>
      </c>
    </row>
    <row r="175" ht="29.75" spans="1:11">
      <c r="A175" s="7">
        <v>172</v>
      </c>
      <c r="B175" s="1" t="str">
        <f>RIGHT('[1]Rekap Dapur'!I175,8)</f>
        <v>8MHYO6E3</v>
      </c>
      <c r="C175" s="9" t="s">
        <v>730</v>
      </c>
      <c r="D175" s="8" t="s">
        <v>13</v>
      </c>
      <c r="E175" s="8" t="str">
        <f t="shared" si="2"/>
        <v>PDM Kendal</v>
      </c>
      <c r="F175" s="9" t="s">
        <v>731</v>
      </c>
      <c r="G175" s="8">
        <v>81325616050</v>
      </c>
      <c r="H175" s="9" t="s">
        <v>117</v>
      </c>
      <c r="I175" s="9" t="s">
        <v>728</v>
      </c>
      <c r="J175" s="9" t="s">
        <v>732</v>
      </c>
      <c r="K175" s="8" t="s">
        <v>431</v>
      </c>
    </row>
    <row r="176" ht="17.55" spans="1:11">
      <c r="A176" s="7">
        <v>173</v>
      </c>
      <c r="B176" s="1" t="str">
        <f>RIGHT('[1]Rekap Dapur'!I176,8)</f>
        <v>TUEBZXUG</v>
      </c>
      <c r="C176" s="9" t="s">
        <v>733</v>
      </c>
      <c r="D176" s="8" t="s">
        <v>13</v>
      </c>
      <c r="E176" s="8" t="str">
        <f t="shared" si="2"/>
        <v>PDM Klaten</v>
      </c>
      <c r="F176" s="9" t="s">
        <v>734</v>
      </c>
      <c r="G176" s="8">
        <v>8175427811</v>
      </c>
      <c r="H176" s="9" t="s">
        <v>117</v>
      </c>
      <c r="I176" s="9" t="s">
        <v>735</v>
      </c>
      <c r="J176" s="9" t="s">
        <v>736</v>
      </c>
      <c r="K176" s="8" t="s">
        <v>431</v>
      </c>
    </row>
    <row r="177" ht="17.55" spans="1:11">
      <c r="A177" s="7">
        <v>174</v>
      </c>
      <c r="B177" s="1" t="str">
        <f>RIGHT('[1]Rekap Dapur'!I177,8)</f>
        <v>C6TWEQJN</v>
      </c>
      <c r="C177" s="9" t="s">
        <v>733</v>
      </c>
      <c r="D177" s="8" t="s">
        <v>13</v>
      </c>
      <c r="E177" s="8" t="str">
        <f t="shared" si="2"/>
        <v>PDM Klaten</v>
      </c>
      <c r="F177" s="9" t="s">
        <v>737</v>
      </c>
      <c r="G177" s="8">
        <v>817166824</v>
      </c>
      <c r="H177" s="9" t="s">
        <v>117</v>
      </c>
      <c r="I177" s="9" t="s">
        <v>735</v>
      </c>
      <c r="J177" s="9" t="s">
        <v>738</v>
      </c>
      <c r="K177" s="8" t="s">
        <v>431</v>
      </c>
    </row>
    <row r="178" ht="17.55" spans="1:11">
      <c r="A178" s="7">
        <v>175</v>
      </c>
      <c r="B178" s="1" t="str">
        <f>RIGHT('[1]Rekap Dapur'!I178,8)</f>
        <v>YBAENC62</v>
      </c>
      <c r="C178" s="9" t="s">
        <v>733</v>
      </c>
      <c r="D178" s="8" t="s">
        <v>13</v>
      </c>
      <c r="E178" s="8" t="str">
        <f t="shared" si="2"/>
        <v>PDM Klaten</v>
      </c>
      <c r="F178" s="9" t="s">
        <v>739</v>
      </c>
      <c r="G178" s="8">
        <v>81578786983</v>
      </c>
      <c r="H178" s="9" t="s">
        <v>117</v>
      </c>
      <c r="I178" s="9" t="s">
        <v>735</v>
      </c>
      <c r="J178" s="9" t="s">
        <v>736</v>
      </c>
      <c r="K178" s="8" t="s">
        <v>431</v>
      </c>
    </row>
    <row r="179" ht="17.55" spans="1:11">
      <c r="A179" s="7">
        <v>176</v>
      </c>
      <c r="B179" s="1" t="str">
        <f>RIGHT('[1]Rekap Dapur'!I179,8)</f>
        <v>XF1EAY3X</v>
      </c>
      <c r="C179" s="9" t="s">
        <v>733</v>
      </c>
      <c r="D179" s="8" t="s">
        <v>13</v>
      </c>
      <c r="E179" s="8" t="str">
        <f t="shared" si="2"/>
        <v>PDM Klaten</v>
      </c>
      <c r="F179" s="9" t="s">
        <v>740</v>
      </c>
      <c r="G179" s="8">
        <v>85293145177</v>
      </c>
      <c r="H179" s="9" t="s">
        <v>117</v>
      </c>
      <c r="I179" s="9" t="s">
        <v>735</v>
      </c>
      <c r="J179" s="9" t="s">
        <v>741</v>
      </c>
      <c r="K179" s="8" t="s">
        <v>431</v>
      </c>
    </row>
    <row r="180" ht="17.55" spans="1:11">
      <c r="A180" s="7">
        <v>177</v>
      </c>
      <c r="B180" s="1" t="str">
        <f>RIGHT('[1]Rekap Dapur'!I180,8)</f>
        <v>RN0NHDQE</v>
      </c>
      <c r="C180" s="9" t="s">
        <v>733</v>
      </c>
      <c r="D180" s="8" t="s">
        <v>13</v>
      </c>
      <c r="E180" s="8" t="str">
        <f t="shared" si="2"/>
        <v>PDM Klaten</v>
      </c>
      <c r="F180" s="9" t="s">
        <v>742</v>
      </c>
      <c r="G180" s="8">
        <v>8156817587</v>
      </c>
      <c r="H180" s="9" t="s">
        <v>117</v>
      </c>
      <c r="I180" s="9" t="s">
        <v>735</v>
      </c>
      <c r="J180" s="9" t="s">
        <v>743</v>
      </c>
      <c r="K180" s="8" t="s">
        <v>431</v>
      </c>
    </row>
    <row r="181" ht="29.75" spans="1:11">
      <c r="A181" s="7">
        <v>178</v>
      </c>
      <c r="B181" s="1" t="str">
        <f>RIGHT('[1]Rekap Dapur'!I181,8)</f>
        <v>QL7NER7F</v>
      </c>
      <c r="C181" s="9" t="s">
        <v>733</v>
      </c>
      <c r="D181" s="8" t="s">
        <v>13</v>
      </c>
      <c r="E181" s="8" t="str">
        <f t="shared" si="2"/>
        <v>PDM Klaten</v>
      </c>
      <c r="F181" s="9" t="s">
        <v>744</v>
      </c>
      <c r="G181" s="8">
        <v>85877401615</v>
      </c>
      <c r="H181" s="9" t="s">
        <v>407</v>
      </c>
      <c r="I181" s="9" t="s">
        <v>735</v>
      </c>
      <c r="J181" s="9" t="s">
        <v>736</v>
      </c>
      <c r="K181" s="8" t="s">
        <v>431</v>
      </c>
    </row>
    <row r="182" ht="29.75" spans="1:11">
      <c r="A182" s="7">
        <v>179</v>
      </c>
      <c r="B182" s="1" t="str">
        <f>RIGHT('[1]Rekap Dapur'!I182,8)</f>
        <v>71PIBIPZ</v>
      </c>
      <c r="C182" s="9" t="s">
        <v>745</v>
      </c>
      <c r="D182" s="8" t="s">
        <v>56</v>
      </c>
      <c r="E182" s="8" t="str">
        <f t="shared" si="2"/>
        <v>Universitas Muhammadiyah Semarang</v>
      </c>
      <c r="F182" s="9" t="s">
        <v>746</v>
      </c>
      <c r="G182" s="8">
        <v>85225941725</v>
      </c>
      <c r="H182" s="9" t="s">
        <v>117</v>
      </c>
      <c r="I182" s="9" t="s">
        <v>747</v>
      </c>
      <c r="J182" s="9" t="s">
        <v>748</v>
      </c>
      <c r="K182" s="8" t="s">
        <v>431</v>
      </c>
    </row>
    <row r="183" ht="17.55" spans="1:11">
      <c r="A183" s="7">
        <v>180</v>
      </c>
      <c r="B183" s="1" t="str">
        <f>RIGHT('[1]Rekap Dapur'!I183,8)</f>
        <v>FXXKRAOO</v>
      </c>
      <c r="C183" s="9" t="s">
        <v>749</v>
      </c>
      <c r="D183" s="8" t="s">
        <v>322</v>
      </c>
      <c r="E183" s="8" t="str">
        <f t="shared" si="2"/>
        <v>PWM Jawa Tengah</v>
      </c>
      <c r="F183" s="9" t="s">
        <v>750</v>
      </c>
      <c r="G183" s="8">
        <v>81225085654</v>
      </c>
      <c r="H183" s="9" t="s">
        <v>407</v>
      </c>
      <c r="I183" s="9" t="s">
        <v>751</v>
      </c>
      <c r="J183" s="9" t="s">
        <v>752</v>
      </c>
      <c r="K183" s="8" t="s">
        <v>431</v>
      </c>
    </row>
    <row r="184" ht="17.55" spans="1:11">
      <c r="A184" s="7">
        <v>181</v>
      </c>
      <c r="B184" s="1" t="str">
        <f>RIGHT('[1]Rekap Dapur'!I184,8)</f>
        <v>UVIMLPQI</v>
      </c>
      <c r="C184" s="9" t="s">
        <v>753</v>
      </c>
      <c r="D184" s="8" t="s">
        <v>13</v>
      </c>
      <c r="E184" s="8" t="str">
        <f t="shared" si="2"/>
        <v>PDM PATI</v>
      </c>
      <c r="F184" s="9" t="s">
        <v>754</v>
      </c>
      <c r="G184" s="8">
        <v>8122803768</v>
      </c>
      <c r="H184" s="9" t="s">
        <v>117</v>
      </c>
      <c r="I184" s="9" t="s">
        <v>191</v>
      </c>
      <c r="J184" s="9" t="s">
        <v>755</v>
      </c>
      <c r="K184" s="8" t="s">
        <v>431</v>
      </c>
    </row>
    <row r="185" ht="29.75" spans="1:11">
      <c r="A185" s="7">
        <v>182</v>
      </c>
      <c r="B185" s="1" t="str">
        <f>RIGHT('[1]Rekap Dapur'!I185,8)</f>
        <v>TIK0V36T</v>
      </c>
      <c r="C185" s="9" t="s">
        <v>756</v>
      </c>
      <c r="D185" s="8" t="s">
        <v>32</v>
      </c>
      <c r="E185" s="8" t="str">
        <f t="shared" si="2"/>
        <v>Pondok Pesantren IMBS Miftahul Ulum Pekajangan Pekalongan</v>
      </c>
      <c r="F185" s="9" t="s">
        <v>757</v>
      </c>
      <c r="G185" s="8">
        <v>85642557198</v>
      </c>
      <c r="H185" s="9" t="s">
        <v>117</v>
      </c>
      <c r="I185" s="9" t="s">
        <v>452</v>
      </c>
      <c r="J185" s="9" t="s">
        <v>758</v>
      </c>
      <c r="K185" s="8" t="s">
        <v>431</v>
      </c>
    </row>
    <row r="186" ht="17.55" spans="1:11">
      <c r="A186" s="7">
        <v>183</v>
      </c>
      <c r="B186" s="1" t="str">
        <f>RIGHT('[1]Rekap Dapur'!I186,8)</f>
        <v>KOCGOFOM</v>
      </c>
      <c r="C186" s="9" t="s">
        <v>759</v>
      </c>
      <c r="D186" s="8" t="s">
        <v>149</v>
      </c>
      <c r="E186" s="8" t="str">
        <f t="shared" si="2"/>
        <v>PCM Comal</v>
      </c>
      <c r="F186" s="9" t="s">
        <v>568</v>
      </c>
      <c r="G186" s="8">
        <v>82322132036</v>
      </c>
      <c r="H186" s="9" t="s">
        <v>117</v>
      </c>
      <c r="I186" s="9" t="s">
        <v>196</v>
      </c>
      <c r="J186" s="9" t="s">
        <v>760</v>
      </c>
      <c r="K186" s="8" t="s">
        <v>431</v>
      </c>
    </row>
    <row r="187" ht="17.55" spans="1:11">
      <c r="A187" s="7">
        <v>184</v>
      </c>
      <c r="B187" s="1" t="str">
        <f>RIGHT('[1]Rekap Dapur'!I187,8)</f>
        <v>MGXNKE1K</v>
      </c>
      <c r="C187" s="9" t="s">
        <v>761</v>
      </c>
      <c r="D187" s="8" t="s">
        <v>214</v>
      </c>
      <c r="E187" s="8" t="str">
        <f t="shared" si="2"/>
        <v>PDA Rembang</v>
      </c>
      <c r="F187" s="9" t="s">
        <v>762</v>
      </c>
      <c r="G187" s="8">
        <v>81325515674</v>
      </c>
      <c r="H187" s="9" t="s">
        <v>117</v>
      </c>
      <c r="I187" s="9" t="s">
        <v>203</v>
      </c>
      <c r="J187" s="9" t="s">
        <v>763</v>
      </c>
      <c r="K187" s="8" t="s">
        <v>431</v>
      </c>
    </row>
    <row r="188" ht="17.55" spans="1:11">
      <c r="A188" s="7">
        <v>185</v>
      </c>
      <c r="B188" s="1" t="str">
        <f>RIGHT('[1]Rekap Dapur'!I188,8)</f>
        <v>ZGWFLXHA</v>
      </c>
      <c r="C188" s="9" t="s">
        <v>764</v>
      </c>
      <c r="D188" s="8" t="s">
        <v>13</v>
      </c>
      <c r="E188" s="8" t="str">
        <f t="shared" si="2"/>
        <v>PDM Rembang</v>
      </c>
      <c r="F188" s="9" t="s">
        <v>765</v>
      </c>
      <c r="G188" s="8">
        <v>82328858883</v>
      </c>
      <c r="H188" s="9" t="s">
        <v>117</v>
      </c>
      <c r="I188" s="9" t="s">
        <v>203</v>
      </c>
      <c r="J188" s="9" t="s">
        <v>203</v>
      </c>
      <c r="K188" s="8" t="s">
        <v>431</v>
      </c>
    </row>
    <row r="189" ht="17.55" spans="1:11">
      <c r="A189" s="7">
        <v>186</v>
      </c>
      <c r="B189" s="1" t="str">
        <f>RIGHT('[1]Rekap Dapur'!I189,8)</f>
        <v>NINTDDKZ</v>
      </c>
      <c r="C189" s="9" t="s">
        <v>766</v>
      </c>
      <c r="D189" s="8" t="s">
        <v>149</v>
      </c>
      <c r="E189" s="8" t="str">
        <f t="shared" si="2"/>
        <v>PCM Sumowono</v>
      </c>
      <c r="F189" s="9" t="s">
        <v>767</v>
      </c>
      <c r="G189" s="33" t="s">
        <v>768</v>
      </c>
      <c r="H189" s="9" t="s">
        <v>117</v>
      </c>
      <c r="I189" s="9" t="s">
        <v>207</v>
      </c>
      <c r="J189" s="9" t="s">
        <v>769</v>
      </c>
      <c r="K189" s="8" t="s">
        <v>431</v>
      </c>
    </row>
    <row r="190" ht="29.75" spans="1:11">
      <c r="A190" s="7">
        <v>187</v>
      </c>
      <c r="B190" s="1" t="str">
        <f>RIGHT('[1]Rekap Dapur'!I190,8)</f>
        <v>RFGQ8NWO</v>
      </c>
      <c r="C190" s="9" t="s">
        <v>770</v>
      </c>
      <c r="D190" s="8" t="s">
        <v>149</v>
      </c>
      <c r="E190" s="8" t="str">
        <f t="shared" si="2"/>
        <v>PCM Masaran</v>
      </c>
      <c r="F190" s="9" t="s">
        <v>771</v>
      </c>
      <c r="G190" s="8">
        <v>81329029253</v>
      </c>
      <c r="H190" s="9" t="s">
        <v>117</v>
      </c>
      <c r="I190" s="9" t="s">
        <v>217</v>
      </c>
      <c r="J190" s="9" t="s">
        <v>772</v>
      </c>
      <c r="K190" s="8" t="s">
        <v>431</v>
      </c>
    </row>
    <row r="191" ht="17.55" spans="1:11">
      <c r="A191" s="7">
        <v>188</v>
      </c>
      <c r="B191" s="1" t="str">
        <f>RIGHT('[1]Rekap Dapur'!I191,8)</f>
        <v>XTN30EZE</v>
      </c>
      <c r="C191" s="13" t="s">
        <v>773</v>
      </c>
      <c r="D191" s="14" t="s">
        <v>214</v>
      </c>
      <c r="E191" s="8" t="str">
        <f t="shared" si="2"/>
        <v>PDA Sragen Jatitengah</v>
      </c>
      <c r="F191" s="13" t="s">
        <v>774</v>
      </c>
      <c r="G191" s="8">
        <v>85702507450</v>
      </c>
      <c r="H191" s="9" t="s">
        <v>117</v>
      </c>
      <c r="I191" s="9" t="s">
        <v>217</v>
      </c>
      <c r="J191" s="9" t="s">
        <v>775</v>
      </c>
      <c r="K191" s="8" t="s">
        <v>431</v>
      </c>
    </row>
    <row r="192" ht="17.55" spans="1:11">
      <c r="A192" s="7">
        <v>189</v>
      </c>
      <c r="B192" s="1" t="str">
        <f>RIGHT('[1]Rekap Dapur'!I192,8)</f>
        <v>CB7LNRLQ</v>
      </c>
      <c r="C192" s="9" t="s">
        <v>213</v>
      </c>
      <c r="D192" s="8" t="s">
        <v>214</v>
      </c>
      <c r="E192" s="8" t="str">
        <f t="shared" si="2"/>
        <v>PDA Sragen</v>
      </c>
      <c r="F192" s="9" t="s">
        <v>776</v>
      </c>
      <c r="G192" s="8">
        <v>82143703780</v>
      </c>
      <c r="H192" s="9" t="s">
        <v>117</v>
      </c>
      <c r="I192" s="9" t="s">
        <v>217</v>
      </c>
      <c r="J192" s="9" t="s">
        <v>777</v>
      </c>
      <c r="K192" s="8" t="s">
        <v>431</v>
      </c>
    </row>
    <row r="193" ht="17.55" spans="1:11">
      <c r="A193" s="7">
        <v>190</v>
      </c>
      <c r="B193" s="1" t="str">
        <f>RIGHT('[1]Rekap Dapur'!I193,8)</f>
        <v>HHMA8IVR</v>
      </c>
      <c r="C193" s="9" t="s">
        <v>239</v>
      </c>
      <c r="D193" s="8" t="s">
        <v>13</v>
      </c>
      <c r="E193" s="8" t="str">
        <f t="shared" si="2"/>
        <v>PDM Sukoharjo</v>
      </c>
      <c r="F193" s="9" t="s">
        <v>778</v>
      </c>
      <c r="G193" s="8">
        <v>8112634335</v>
      </c>
      <c r="H193" s="9" t="s">
        <v>117</v>
      </c>
      <c r="I193" s="9" t="s">
        <v>232</v>
      </c>
      <c r="J193" s="9" t="s">
        <v>779</v>
      </c>
      <c r="K193" s="8" t="s">
        <v>431</v>
      </c>
    </row>
    <row r="194" ht="17.55" spans="1:11">
      <c r="A194" s="7">
        <v>191</v>
      </c>
      <c r="B194" s="1" t="str">
        <f>RIGHT('[1]Rekap Dapur'!I194,8)</f>
        <v>SSBHPCOE</v>
      </c>
      <c r="C194" s="9" t="s">
        <v>239</v>
      </c>
      <c r="D194" s="8" t="s">
        <v>56</v>
      </c>
      <c r="E194" s="8" t="str">
        <f t="shared" si="2"/>
        <v>PDM Sukoharjo</v>
      </c>
      <c r="F194" s="9" t="s">
        <v>780</v>
      </c>
      <c r="G194" s="8">
        <v>81229792795</v>
      </c>
      <c r="H194" s="9" t="s">
        <v>117</v>
      </c>
      <c r="I194" s="9" t="s">
        <v>232</v>
      </c>
      <c r="J194" s="9" t="s">
        <v>232</v>
      </c>
      <c r="K194" s="8" t="s">
        <v>431</v>
      </c>
    </row>
    <row r="195" ht="29.75" spans="1:11">
      <c r="A195" s="7">
        <v>192</v>
      </c>
      <c r="B195" s="1" t="str">
        <f>RIGHT('[1]Rekap Dapur'!I195,8)</f>
        <v>QXSICFM5</v>
      </c>
      <c r="C195" s="19" t="s">
        <v>257</v>
      </c>
      <c r="D195" s="8" t="s">
        <v>13</v>
      </c>
      <c r="E195" s="8" t="str">
        <f t="shared" si="2"/>
        <v>PDM Wonogiri</v>
      </c>
      <c r="F195" s="9" t="s">
        <v>781</v>
      </c>
      <c r="G195" s="8">
        <v>81326847999</v>
      </c>
      <c r="H195" s="9" t="s">
        <v>117</v>
      </c>
      <c r="I195" s="9" t="s">
        <v>261</v>
      </c>
      <c r="J195" s="9" t="s">
        <v>782</v>
      </c>
      <c r="K195" s="8" t="s">
        <v>431</v>
      </c>
    </row>
    <row r="196" ht="17.55" spans="1:11">
      <c r="A196" s="7">
        <v>193</v>
      </c>
      <c r="B196" s="1" t="str">
        <f>RIGHT('[1]Rekap Dapur'!I196,8)</f>
        <v>YXEZULLC</v>
      </c>
      <c r="C196" s="9" t="s">
        <v>257</v>
      </c>
      <c r="D196" s="8" t="s">
        <v>13</v>
      </c>
      <c r="E196" s="8" t="str">
        <f t="shared" si="2"/>
        <v>PDM Wonogiri</v>
      </c>
      <c r="F196" s="9" t="s">
        <v>783</v>
      </c>
      <c r="G196" s="8">
        <v>85229005565</v>
      </c>
      <c r="H196" s="9" t="s">
        <v>117</v>
      </c>
      <c r="I196" s="9" t="s">
        <v>261</v>
      </c>
      <c r="J196" s="9" t="s">
        <v>784</v>
      </c>
      <c r="K196" s="8" t="s">
        <v>431</v>
      </c>
    </row>
    <row r="197" ht="17.55" spans="1:11">
      <c r="A197" s="7">
        <v>194</v>
      </c>
      <c r="B197" s="1" t="str">
        <f>RIGHT('[1]Rekap Dapur'!I197,8)</f>
        <v>GWKEY1GK</v>
      </c>
      <c r="C197" s="9" t="s">
        <v>257</v>
      </c>
      <c r="D197" s="8" t="s">
        <v>13</v>
      </c>
      <c r="E197" s="8" t="str">
        <f t="shared" ref="E197:E229" si="3">C197</f>
        <v>PDM Wonogiri</v>
      </c>
      <c r="F197" s="9" t="s">
        <v>785</v>
      </c>
      <c r="G197" s="8">
        <v>82223528235</v>
      </c>
      <c r="H197" s="9" t="s">
        <v>117</v>
      </c>
      <c r="I197" s="9" t="s">
        <v>261</v>
      </c>
      <c r="J197" s="9" t="s">
        <v>786</v>
      </c>
      <c r="K197" s="8" t="s">
        <v>431</v>
      </c>
    </row>
    <row r="198" ht="17.55" spans="1:11">
      <c r="A198" s="7">
        <v>195</v>
      </c>
      <c r="B198" s="1" t="str">
        <f>RIGHT('[1]Rekap Dapur'!I198,8)</f>
        <v>TET8ZTA6</v>
      </c>
      <c r="C198" s="9" t="s">
        <v>36</v>
      </c>
      <c r="D198" s="8" t="s">
        <v>37</v>
      </c>
      <c r="E198" s="8" t="str">
        <f t="shared" si="3"/>
        <v>MPM PP Muhammadiyah</v>
      </c>
      <c r="F198" s="9" t="s">
        <v>787</v>
      </c>
      <c r="G198" s="8">
        <v>85257111898</v>
      </c>
      <c r="H198" s="9" t="s">
        <v>275</v>
      </c>
      <c r="I198" s="9" t="s">
        <v>788</v>
      </c>
      <c r="J198" s="9" t="s">
        <v>789</v>
      </c>
      <c r="K198" s="8" t="s">
        <v>431</v>
      </c>
    </row>
    <row r="199" ht="17.55" spans="1:11">
      <c r="A199" s="7">
        <v>196</v>
      </c>
      <c r="B199" s="1" t="str">
        <f>RIGHT('[1]Rekap Dapur'!I199,8)</f>
        <v>OCHBQIXT</v>
      </c>
      <c r="C199" s="9" t="s">
        <v>289</v>
      </c>
      <c r="D199" s="8" t="s">
        <v>13</v>
      </c>
      <c r="E199" s="8" t="str">
        <f t="shared" si="3"/>
        <v>PDM Banyuwangi</v>
      </c>
      <c r="F199" s="9" t="s">
        <v>790</v>
      </c>
      <c r="G199" s="33" t="s">
        <v>791</v>
      </c>
      <c r="H199" s="9" t="s">
        <v>275</v>
      </c>
      <c r="I199" s="9" t="s">
        <v>292</v>
      </c>
      <c r="J199" s="9" t="s">
        <v>792</v>
      </c>
      <c r="K199" s="8" t="s">
        <v>431</v>
      </c>
    </row>
    <row r="200" ht="17.55" spans="1:11">
      <c r="A200" s="7">
        <v>197</v>
      </c>
      <c r="B200" s="1" t="str">
        <f>RIGHT('[1]Rekap Dapur'!I200,8)</f>
        <v>4AZV9UIN</v>
      </c>
      <c r="C200" s="9" t="s">
        <v>36</v>
      </c>
      <c r="D200" s="8" t="s">
        <v>37</v>
      </c>
      <c r="E200" s="8" t="str">
        <f t="shared" si="3"/>
        <v>MPM PP Muhammadiyah</v>
      </c>
      <c r="F200" s="9" t="s">
        <v>793</v>
      </c>
      <c r="G200" s="8" t="s">
        <v>794</v>
      </c>
      <c r="H200" s="9" t="s">
        <v>275</v>
      </c>
      <c r="I200" s="9" t="s">
        <v>282</v>
      </c>
      <c r="J200" s="9" t="s">
        <v>795</v>
      </c>
      <c r="K200" s="8" t="s">
        <v>431</v>
      </c>
    </row>
    <row r="201" ht="29.75" spans="1:11">
      <c r="A201" s="7">
        <v>198</v>
      </c>
      <c r="B201" s="1" t="str">
        <f>RIGHT('[1]Rekap Dapur'!I201,8)</f>
        <v>QJ1PL2QL</v>
      </c>
      <c r="C201" s="13" t="s">
        <v>796</v>
      </c>
      <c r="D201" s="14" t="s">
        <v>32</v>
      </c>
      <c r="E201" s="8" t="str">
        <f t="shared" si="3"/>
        <v>Pesantren Entrepreneur Muhammadiyah</v>
      </c>
      <c r="F201" s="13" t="s">
        <v>797</v>
      </c>
      <c r="G201" s="8">
        <v>81231667593</v>
      </c>
      <c r="H201" s="9" t="s">
        <v>275</v>
      </c>
      <c r="I201" s="9" t="s">
        <v>798</v>
      </c>
      <c r="J201" s="9" t="s">
        <v>326</v>
      </c>
      <c r="K201" s="8" t="s">
        <v>431</v>
      </c>
    </row>
    <row r="202" ht="17.55" spans="1:11">
      <c r="A202" s="7">
        <v>199</v>
      </c>
      <c r="B202" s="1" t="str">
        <f>RIGHT('[1]Rekap Dapur'!I202,8)</f>
        <v>BQ5DIWQI</v>
      </c>
      <c r="C202" s="9" t="s">
        <v>289</v>
      </c>
      <c r="D202" s="8" t="s">
        <v>13</v>
      </c>
      <c r="E202" s="8" t="str">
        <f t="shared" si="3"/>
        <v>PDM Banyuwangi</v>
      </c>
      <c r="F202" s="9" t="s">
        <v>799</v>
      </c>
      <c r="G202" s="8">
        <v>82210080808</v>
      </c>
      <c r="H202" s="9" t="s">
        <v>275</v>
      </c>
      <c r="I202" s="9" t="s">
        <v>292</v>
      </c>
      <c r="J202" s="9" t="s">
        <v>800</v>
      </c>
      <c r="K202" s="8" t="s">
        <v>431</v>
      </c>
    </row>
    <row r="203" ht="29.75" spans="1:11">
      <c r="A203" s="7">
        <v>200</v>
      </c>
      <c r="B203" s="1" t="str">
        <f>RIGHT('[1]Rekap Dapur'!I203,8)</f>
        <v>O5ZKJOKB</v>
      </c>
      <c r="C203" s="9" t="s">
        <v>289</v>
      </c>
      <c r="D203" s="8" t="s">
        <v>13</v>
      </c>
      <c r="E203" s="8" t="str">
        <f t="shared" si="3"/>
        <v>PDM Banyuwangi</v>
      </c>
      <c r="F203" s="17" t="s">
        <v>801</v>
      </c>
      <c r="G203" s="36" t="s">
        <v>802</v>
      </c>
      <c r="H203" s="9" t="s">
        <v>275</v>
      </c>
      <c r="I203" s="9" t="s">
        <v>292</v>
      </c>
      <c r="J203" s="9" t="s">
        <v>803</v>
      </c>
      <c r="K203" s="8" t="s">
        <v>431</v>
      </c>
    </row>
    <row r="204" ht="17.55" spans="1:11">
      <c r="A204" s="7">
        <v>201</v>
      </c>
      <c r="B204" s="1" t="str">
        <f>RIGHT('[1]Rekap Dapur'!I204,8)</f>
        <v>UYIXR41W</v>
      </c>
      <c r="C204" s="9" t="s">
        <v>472</v>
      </c>
      <c r="D204" s="8" t="s">
        <v>13</v>
      </c>
      <c r="E204" s="8" t="str">
        <f t="shared" si="3"/>
        <v>PDM Bondowoso</v>
      </c>
      <c r="F204" s="9" t="s">
        <v>804</v>
      </c>
      <c r="G204" s="8">
        <v>85258111112</v>
      </c>
      <c r="H204" s="9" t="s">
        <v>275</v>
      </c>
      <c r="I204" s="9" t="s">
        <v>276</v>
      </c>
      <c r="J204" s="9" t="s">
        <v>805</v>
      </c>
      <c r="K204" s="8" t="s">
        <v>431</v>
      </c>
    </row>
    <row r="205" ht="17.55" spans="1:11">
      <c r="A205" s="7">
        <v>202</v>
      </c>
      <c r="B205" s="1" t="str">
        <f>RIGHT('[1]Rekap Dapur'!I205,8)</f>
        <v>ZNHFYGIA</v>
      </c>
      <c r="C205" s="9" t="s">
        <v>480</v>
      </c>
      <c r="D205" s="8" t="s">
        <v>13</v>
      </c>
      <c r="E205" s="8" t="str">
        <f t="shared" si="3"/>
        <v>PDM Kota Malang</v>
      </c>
      <c r="F205" s="9" t="s">
        <v>806</v>
      </c>
      <c r="G205" s="8">
        <v>85335871379</v>
      </c>
      <c r="H205" s="9" t="s">
        <v>275</v>
      </c>
      <c r="I205" s="9" t="s">
        <v>484</v>
      </c>
      <c r="J205" s="9" t="s">
        <v>807</v>
      </c>
      <c r="K205" s="8" t="s">
        <v>431</v>
      </c>
    </row>
    <row r="206" ht="17.55" spans="1:11">
      <c r="A206" s="7">
        <v>203</v>
      </c>
      <c r="B206" s="1" t="str">
        <f>RIGHT('[1]Rekap Dapur'!I206,8)</f>
        <v>QZKNNHJY</v>
      </c>
      <c r="C206" s="9" t="s">
        <v>480</v>
      </c>
      <c r="D206" s="8" t="s">
        <v>13</v>
      </c>
      <c r="E206" s="8" t="str">
        <f t="shared" si="3"/>
        <v>PDM Kota Malang</v>
      </c>
      <c r="F206" s="9" t="s">
        <v>808</v>
      </c>
      <c r="G206" s="8">
        <v>85336922624</v>
      </c>
      <c r="H206" s="9" t="s">
        <v>275</v>
      </c>
      <c r="I206" s="9" t="s">
        <v>484</v>
      </c>
      <c r="J206" s="9" t="s">
        <v>809</v>
      </c>
      <c r="K206" s="8" t="s">
        <v>431</v>
      </c>
    </row>
    <row r="207" ht="29.75" spans="1:11">
      <c r="A207" s="7">
        <v>204</v>
      </c>
      <c r="B207" s="1" t="str">
        <f>RIGHT('[1]Rekap Dapur'!I207,8)</f>
        <v>IAY1REX2</v>
      </c>
      <c r="C207" s="9" t="s">
        <v>810</v>
      </c>
      <c r="D207" s="8" t="s">
        <v>32</v>
      </c>
      <c r="E207" s="8" t="str">
        <f t="shared" si="3"/>
        <v>MTs Muhammadiyah Boarding School Barat</v>
      </c>
      <c r="F207" s="9" t="s">
        <v>811</v>
      </c>
      <c r="G207" s="33" t="s">
        <v>812</v>
      </c>
      <c r="H207" s="9" t="s">
        <v>275</v>
      </c>
      <c r="I207" s="9" t="s">
        <v>813</v>
      </c>
      <c r="J207" s="9" t="s">
        <v>814</v>
      </c>
      <c r="K207" s="8" t="s">
        <v>431</v>
      </c>
    </row>
    <row r="208" ht="17.55" spans="1:11">
      <c r="A208" s="7">
        <v>205</v>
      </c>
      <c r="B208" s="1" t="str">
        <f>RIGHT('[1]Rekap Dapur'!I208,8)</f>
        <v>Z9VA96TW</v>
      </c>
      <c r="C208" s="9" t="s">
        <v>815</v>
      </c>
      <c r="D208" s="8" t="s">
        <v>13</v>
      </c>
      <c r="E208" s="8" t="str">
        <f t="shared" si="3"/>
        <v>PDM Melawi</v>
      </c>
      <c r="F208" s="9" t="s">
        <v>816</v>
      </c>
      <c r="G208" s="33" t="s">
        <v>817</v>
      </c>
      <c r="H208" s="9" t="s">
        <v>818</v>
      </c>
      <c r="I208" s="9" t="s">
        <v>819</v>
      </c>
      <c r="J208" s="9" t="s">
        <v>820</v>
      </c>
      <c r="K208" s="8" t="s">
        <v>431</v>
      </c>
    </row>
    <row r="209" ht="17.55" spans="1:11">
      <c r="A209" s="7">
        <v>206</v>
      </c>
      <c r="B209" s="1" t="str">
        <f>RIGHT('[1]Rekap Dapur'!I209,8)</f>
        <v>TDBLZUHS</v>
      </c>
      <c r="C209" s="9" t="s">
        <v>821</v>
      </c>
      <c r="D209" s="8" t="s">
        <v>13</v>
      </c>
      <c r="E209" s="8" t="str">
        <f t="shared" si="3"/>
        <v>PDM Hulu Sungai Tengah</v>
      </c>
      <c r="F209" s="9" t="s">
        <v>822</v>
      </c>
      <c r="G209" s="8">
        <v>8125167278</v>
      </c>
      <c r="H209" s="9" t="s">
        <v>489</v>
      </c>
      <c r="I209" s="9" t="s">
        <v>823</v>
      </c>
      <c r="J209" s="9" t="s">
        <v>824</v>
      </c>
      <c r="K209" s="8" t="s">
        <v>431</v>
      </c>
    </row>
    <row r="210" ht="17.55" spans="1:11">
      <c r="A210" s="7">
        <v>207</v>
      </c>
      <c r="B210" s="1" t="str">
        <f>RIGHT('[1]Rekap Dapur'!I210,8)</f>
        <v>Q9KN5UF7</v>
      </c>
      <c r="C210" s="9" t="s">
        <v>825</v>
      </c>
      <c r="D210" s="8" t="s">
        <v>322</v>
      </c>
      <c r="E210" s="8" t="str">
        <f t="shared" si="3"/>
        <v>PWM Kaltara</v>
      </c>
      <c r="F210" s="9" t="s">
        <v>826</v>
      </c>
      <c r="G210" s="8">
        <v>811599320</v>
      </c>
      <c r="H210" s="9" t="s">
        <v>297</v>
      </c>
      <c r="I210" s="9" t="s">
        <v>298</v>
      </c>
      <c r="J210" s="9" t="s">
        <v>827</v>
      </c>
      <c r="K210" s="8" t="s">
        <v>431</v>
      </c>
    </row>
    <row r="211" ht="17.55" spans="1:11">
      <c r="A211" s="7">
        <v>208</v>
      </c>
      <c r="B211" s="1" t="str">
        <f>RIGHT('[1]Rekap Dapur'!I211,8)</f>
        <v>TCWAS4UD</v>
      </c>
      <c r="C211" s="9" t="s">
        <v>828</v>
      </c>
      <c r="D211" s="8" t="s">
        <v>25</v>
      </c>
      <c r="E211" s="8" t="str">
        <f t="shared" si="3"/>
        <v>PC NA Tangkit Batu</v>
      </c>
      <c r="F211" s="9" t="s">
        <v>829</v>
      </c>
      <c r="G211" s="8">
        <v>85788889199</v>
      </c>
      <c r="H211" s="9" t="s">
        <v>318</v>
      </c>
      <c r="I211" s="9" t="s">
        <v>830</v>
      </c>
      <c r="J211" s="9" t="s">
        <v>831</v>
      </c>
      <c r="K211" s="8" t="s">
        <v>431</v>
      </c>
    </row>
    <row r="212" ht="17.55" spans="1:11">
      <c r="A212" s="7">
        <v>209</v>
      </c>
      <c r="B212" s="1" t="str">
        <f>RIGHT('[1]Rekap Dapur'!I212,8)</f>
        <v>JEFOE5DS</v>
      </c>
      <c r="C212" s="9" t="s">
        <v>321</v>
      </c>
      <c r="D212" s="8" t="s">
        <v>322</v>
      </c>
      <c r="E212" s="8" t="str">
        <f t="shared" si="3"/>
        <v>MEBP PWM Lampung</v>
      </c>
      <c r="F212" s="9" t="s">
        <v>832</v>
      </c>
      <c r="G212" s="8">
        <v>8117901682</v>
      </c>
      <c r="H212" s="9" t="s">
        <v>318</v>
      </c>
      <c r="I212" s="9" t="s">
        <v>830</v>
      </c>
      <c r="J212" s="9" t="s">
        <v>831</v>
      </c>
      <c r="K212" s="8" t="s">
        <v>431</v>
      </c>
    </row>
    <row r="213" ht="17.55" spans="1:11">
      <c r="A213" s="7">
        <v>210</v>
      </c>
      <c r="B213" s="1" t="str">
        <f>RIGHT('[1]Rekap Dapur'!I213,8)</f>
        <v>VKDNTGYP</v>
      </c>
      <c r="C213" s="9" t="s">
        <v>833</v>
      </c>
      <c r="D213" s="8" t="s">
        <v>13</v>
      </c>
      <c r="E213" s="8" t="str">
        <f t="shared" si="3"/>
        <v>PDM Kampar</v>
      </c>
      <c r="F213" s="9" t="s">
        <v>834</v>
      </c>
      <c r="G213" s="8">
        <v>82286327223</v>
      </c>
      <c r="H213" s="9" t="s">
        <v>835</v>
      </c>
      <c r="I213" s="9" t="s">
        <v>836</v>
      </c>
      <c r="J213" s="9" t="s">
        <v>837</v>
      </c>
      <c r="K213" s="8" t="s">
        <v>431</v>
      </c>
    </row>
    <row r="214" ht="17.55" spans="1:11">
      <c r="A214" s="7">
        <v>211</v>
      </c>
      <c r="B214" s="1" t="str">
        <f>RIGHT('[1]Rekap Dapur'!I214,8)</f>
        <v>Y4Y8R45H</v>
      </c>
      <c r="C214" s="9" t="s">
        <v>838</v>
      </c>
      <c r="D214" s="8" t="s">
        <v>13</v>
      </c>
      <c r="E214" s="8" t="str">
        <f t="shared" si="3"/>
        <v>PDM Kota Pekanbaru</v>
      </c>
      <c r="F214" s="9" t="s">
        <v>839</v>
      </c>
      <c r="G214" s="8" t="s">
        <v>840</v>
      </c>
      <c r="H214" s="9" t="s">
        <v>835</v>
      </c>
      <c r="I214" s="9" t="s">
        <v>841</v>
      </c>
      <c r="J214" s="9" t="s">
        <v>842</v>
      </c>
      <c r="K214" s="8" t="s">
        <v>431</v>
      </c>
    </row>
    <row r="215" ht="29.75" spans="1:11">
      <c r="A215" s="7">
        <v>212</v>
      </c>
      <c r="B215" s="1" t="str">
        <f>RIGHT('[1]Rekap Dapur'!I215,8)</f>
        <v>UKDVAZY8</v>
      </c>
      <c r="C215" s="9" t="s">
        <v>843</v>
      </c>
      <c r="D215" s="8" t="s">
        <v>380</v>
      </c>
      <c r="E215" s="8" t="str">
        <f t="shared" si="3"/>
        <v>Panti Asuhan Muhammadiyah Pomalaa</v>
      </c>
      <c r="F215" s="9" t="s">
        <v>844</v>
      </c>
      <c r="G215" s="8">
        <v>85254749794</v>
      </c>
      <c r="H215" s="9" t="s">
        <v>845</v>
      </c>
      <c r="I215" s="9" t="s">
        <v>846</v>
      </c>
      <c r="J215" s="9" t="s">
        <v>847</v>
      </c>
      <c r="K215" s="8" t="s">
        <v>431</v>
      </c>
    </row>
    <row r="216" ht="17.55" spans="1:11">
      <c r="A216" s="7">
        <v>213</v>
      </c>
      <c r="B216" s="1" t="str">
        <f>RIGHT('[1]Rekap Dapur'!I216,8)</f>
        <v>T8AZ0MUG</v>
      </c>
      <c r="C216" s="9" t="s">
        <v>524</v>
      </c>
      <c r="D216" s="8" t="s">
        <v>13</v>
      </c>
      <c r="E216" s="8" t="str">
        <f t="shared" si="3"/>
        <v>PDM Dharmasraya</v>
      </c>
      <c r="F216" s="9" t="s">
        <v>848</v>
      </c>
      <c r="G216" s="8">
        <v>81266922081</v>
      </c>
      <c r="H216" s="9" t="s">
        <v>335</v>
      </c>
      <c r="I216" s="9" t="s">
        <v>527</v>
      </c>
      <c r="J216" s="9" t="s">
        <v>528</v>
      </c>
      <c r="K216" s="8" t="s">
        <v>431</v>
      </c>
    </row>
    <row r="217" ht="17.55" spans="1:11">
      <c r="A217" s="7">
        <v>214</v>
      </c>
      <c r="B217" s="1" t="str">
        <f>RIGHT('[1]Rekap Dapur'!I217,8)</f>
        <v>EB59H85C</v>
      </c>
      <c r="C217" s="9" t="s">
        <v>524</v>
      </c>
      <c r="D217" s="8" t="s">
        <v>13</v>
      </c>
      <c r="E217" s="8" t="str">
        <f t="shared" si="3"/>
        <v>PDM Dharmasraya</v>
      </c>
      <c r="F217" s="9" t="s">
        <v>849</v>
      </c>
      <c r="G217" s="8">
        <v>81337921975</v>
      </c>
      <c r="H217" s="9" t="s">
        <v>335</v>
      </c>
      <c r="I217" s="9" t="s">
        <v>527</v>
      </c>
      <c r="J217" s="9" t="s">
        <v>850</v>
      </c>
      <c r="K217" s="8" t="s">
        <v>431</v>
      </c>
    </row>
    <row r="218" ht="17.55" spans="1:11">
      <c r="A218" s="7">
        <v>215</v>
      </c>
      <c r="B218" s="1" t="str">
        <f>RIGHT('[1]Rekap Dapur'!I218,8)</f>
        <v>SF62AHE8</v>
      </c>
      <c r="C218" s="9" t="s">
        <v>524</v>
      </c>
      <c r="D218" s="8" t="s">
        <v>13</v>
      </c>
      <c r="E218" s="8" t="str">
        <f t="shared" si="3"/>
        <v>PDM Dharmasraya</v>
      </c>
      <c r="F218" s="9" t="s">
        <v>851</v>
      </c>
      <c r="G218" s="8">
        <v>82282184790</v>
      </c>
      <c r="H218" s="9" t="s">
        <v>335</v>
      </c>
      <c r="I218" s="9" t="s">
        <v>527</v>
      </c>
      <c r="J218" s="9" t="s">
        <v>852</v>
      </c>
      <c r="K218" s="8" t="s">
        <v>431</v>
      </c>
    </row>
    <row r="219" ht="17.55" spans="1:11">
      <c r="A219" s="7">
        <v>216</v>
      </c>
      <c r="B219" s="1" t="str">
        <f>RIGHT('[1]Rekap Dapur'!I219,8)</f>
        <v>GDOGKDAP</v>
      </c>
      <c r="C219" s="9" t="s">
        <v>524</v>
      </c>
      <c r="D219" s="8" t="s">
        <v>13</v>
      </c>
      <c r="E219" s="8" t="str">
        <f t="shared" si="3"/>
        <v>PDM Dharmasraya</v>
      </c>
      <c r="F219" s="9" t="s">
        <v>853</v>
      </c>
      <c r="G219" s="8">
        <v>81260333999</v>
      </c>
      <c r="H219" s="9" t="s">
        <v>335</v>
      </c>
      <c r="I219" s="9" t="s">
        <v>527</v>
      </c>
      <c r="J219" s="9" t="s">
        <v>854</v>
      </c>
      <c r="K219" s="8" t="s">
        <v>431</v>
      </c>
    </row>
    <row r="220" ht="17.55" spans="1:11">
      <c r="A220" s="7">
        <v>217</v>
      </c>
      <c r="B220" s="1" t="str">
        <f>RIGHT('[1]Rekap Dapur'!I220,8)</f>
        <v>9ZHUSMXA</v>
      </c>
      <c r="C220" s="9" t="s">
        <v>524</v>
      </c>
      <c r="D220" s="8" t="s">
        <v>13</v>
      </c>
      <c r="E220" s="8" t="str">
        <f t="shared" si="3"/>
        <v>PDM Dharmasraya</v>
      </c>
      <c r="F220" s="9" t="s">
        <v>855</v>
      </c>
      <c r="G220" s="8">
        <v>6281372027339</v>
      </c>
      <c r="H220" s="9" t="s">
        <v>335</v>
      </c>
      <c r="I220" s="9" t="s">
        <v>527</v>
      </c>
      <c r="J220" s="9" t="s">
        <v>528</v>
      </c>
      <c r="K220" s="8" t="s">
        <v>431</v>
      </c>
    </row>
    <row r="221" ht="17.55" spans="1:11">
      <c r="A221" s="7">
        <v>218</v>
      </c>
      <c r="B221" s="1" t="str">
        <f>RIGHT('[1]Rekap Dapur'!I221,8)</f>
        <v>Y4FWT4GP</v>
      </c>
      <c r="C221" s="9" t="s">
        <v>856</v>
      </c>
      <c r="D221" s="8" t="s">
        <v>279</v>
      </c>
      <c r="E221" s="8" t="str">
        <f t="shared" si="3"/>
        <v>DPD IMM Sumatera Barat</v>
      </c>
      <c r="F221" s="9" t="s">
        <v>857</v>
      </c>
      <c r="G221" s="8">
        <v>6281363997579</v>
      </c>
      <c r="H221" s="9" t="s">
        <v>335</v>
      </c>
      <c r="I221" s="9" t="s">
        <v>858</v>
      </c>
      <c r="J221" s="9" t="s">
        <v>859</v>
      </c>
      <c r="K221" s="8" t="s">
        <v>431</v>
      </c>
    </row>
    <row r="222" ht="17.55" spans="1:11">
      <c r="A222" s="7">
        <v>219</v>
      </c>
      <c r="B222" s="1" t="str">
        <f>RIGHT('[1]Rekap Dapur'!I222,8)</f>
        <v>QJBJFQ1H</v>
      </c>
      <c r="C222" s="9" t="s">
        <v>524</v>
      </c>
      <c r="D222" s="8" t="s">
        <v>13</v>
      </c>
      <c r="E222" s="8" t="str">
        <f t="shared" si="3"/>
        <v>PDM Dharmasraya</v>
      </c>
      <c r="F222" s="9" t="s">
        <v>860</v>
      </c>
      <c r="G222" s="8">
        <v>82169299977</v>
      </c>
      <c r="H222" s="9" t="s">
        <v>335</v>
      </c>
      <c r="I222" s="9" t="s">
        <v>527</v>
      </c>
      <c r="J222" s="9" t="s">
        <v>861</v>
      </c>
      <c r="K222" s="8" t="s">
        <v>431</v>
      </c>
    </row>
    <row r="223" ht="17.55" spans="1:11">
      <c r="A223" s="7">
        <v>220</v>
      </c>
      <c r="B223" s="1" t="str">
        <f>RIGHT('[1]Rekap Dapur'!I223,8)</f>
        <v>WRY6G0GF</v>
      </c>
      <c r="C223" s="9" t="s">
        <v>524</v>
      </c>
      <c r="D223" s="8" t="s">
        <v>13</v>
      </c>
      <c r="E223" s="8" t="str">
        <f t="shared" si="3"/>
        <v>PDM Dharmasraya</v>
      </c>
      <c r="F223" s="9" t="s">
        <v>862</v>
      </c>
      <c r="G223" s="8">
        <v>82312710467</v>
      </c>
      <c r="H223" s="9" t="s">
        <v>335</v>
      </c>
      <c r="I223" s="9" t="s">
        <v>527</v>
      </c>
      <c r="J223" s="9" t="s">
        <v>861</v>
      </c>
      <c r="K223" s="8" t="s">
        <v>431</v>
      </c>
    </row>
    <row r="224" ht="17.55" spans="1:11">
      <c r="A224" s="7">
        <v>221</v>
      </c>
      <c r="B224" s="1" t="str">
        <f>RIGHT('[1]Rekap Dapur'!I224,8)</f>
        <v>QI4RDBZB</v>
      </c>
      <c r="C224" s="9" t="s">
        <v>524</v>
      </c>
      <c r="D224" s="8" t="s">
        <v>13</v>
      </c>
      <c r="E224" s="8" t="str">
        <f t="shared" si="3"/>
        <v>PDM Dharmasraya</v>
      </c>
      <c r="F224" s="9" t="s">
        <v>863</v>
      </c>
      <c r="G224" s="8">
        <v>8116667819</v>
      </c>
      <c r="H224" s="9" t="s">
        <v>335</v>
      </c>
      <c r="I224" s="9" t="s">
        <v>527</v>
      </c>
      <c r="J224" s="9" t="s">
        <v>864</v>
      </c>
      <c r="K224" s="8" t="s">
        <v>431</v>
      </c>
    </row>
    <row r="225" ht="29.75" spans="1:11">
      <c r="A225" s="7">
        <v>222</v>
      </c>
      <c r="B225" s="1" t="str">
        <f>RIGHT('[1]Rekap Dapur'!I225,8)</f>
        <v>3ZFXTXJH</v>
      </c>
      <c r="C225" s="9" t="s">
        <v>865</v>
      </c>
      <c r="D225" s="8" t="s">
        <v>56</v>
      </c>
      <c r="E225" s="8" t="str">
        <f t="shared" si="3"/>
        <v>Universitas Muhammadiyah Sumatera Utara</v>
      </c>
      <c r="F225" s="9" t="s">
        <v>866</v>
      </c>
      <c r="G225" s="8">
        <v>82174183023</v>
      </c>
      <c r="H225" s="9" t="s">
        <v>867</v>
      </c>
      <c r="I225" s="9" t="s">
        <v>868</v>
      </c>
      <c r="J225" s="9" t="s">
        <v>869</v>
      </c>
      <c r="K225" s="8" t="s">
        <v>431</v>
      </c>
    </row>
    <row r="226" ht="17.55" spans="1:11">
      <c r="A226" s="7">
        <v>223</v>
      </c>
      <c r="B226" s="1" t="str">
        <f>RIGHT('[1]Rekap Dapur'!I226,8)</f>
        <v>4BWOJU ·</v>
      </c>
      <c r="C226" s="22" t="s">
        <v>395</v>
      </c>
      <c r="D226" s="23" t="s">
        <v>47</v>
      </c>
      <c r="E226" s="8" t="str">
        <f t="shared" si="3"/>
        <v>SMKM Kuningan</v>
      </c>
      <c r="F226" s="27" t="s">
        <v>870</v>
      </c>
      <c r="G226" s="38" t="s">
        <v>871</v>
      </c>
      <c r="H226" s="27" t="s">
        <v>64</v>
      </c>
      <c r="I226" s="27" t="s">
        <v>398</v>
      </c>
      <c r="J226" s="27" t="s">
        <v>399</v>
      </c>
      <c r="K226" s="23" t="s">
        <v>358</v>
      </c>
    </row>
    <row r="227" ht="29.75" spans="1:11">
      <c r="A227" s="7">
        <v>224</v>
      </c>
      <c r="B227" s="1" t="str">
        <f>RIGHT('[1]Rekap Dapur'!I227,8)</f>
        <v>T3PKKZ9Y</v>
      </c>
      <c r="C227" s="24" t="s">
        <v>540</v>
      </c>
      <c r="D227" s="23" t="s">
        <v>149</v>
      </c>
      <c r="E227" s="8" t="str">
        <f t="shared" si="3"/>
        <v>DIKDASMEN PCM TANJUNG TIRAM</v>
      </c>
      <c r="F227" s="27" t="s">
        <v>541</v>
      </c>
      <c r="G227" s="28">
        <v>82184858082</v>
      </c>
      <c r="H227" s="27" t="s">
        <v>543</v>
      </c>
      <c r="I227" s="27" t="s">
        <v>544</v>
      </c>
      <c r="J227" s="27" t="s">
        <v>545</v>
      </c>
      <c r="K227" s="23" t="s">
        <v>358</v>
      </c>
    </row>
    <row r="228" ht="29.75" spans="1:11">
      <c r="A228" s="7">
        <v>225</v>
      </c>
      <c r="B228" s="1" t="str">
        <f>RIGHT('[1]Rekap Dapur'!I228,8)</f>
        <v>QJ1PL2QL</v>
      </c>
      <c r="C228" s="22" t="s">
        <v>796</v>
      </c>
      <c r="D228" s="23" t="s">
        <v>47</v>
      </c>
      <c r="E228" s="8" t="str">
        <f t="shared" si="3"/>
        <v>Pesantren Entrepreneur Muhammadiyah</v>
      </c>
      <c r="F228" s="29" t="s">
        <v>797</v>
      </c>
      <c r="G228" s="30">
        <v>81231667593</v>
      </c>
      <c r="H228" s="29" t="s">
        <v>275</v>
      </c>
      <c r="I228" s="29" t="s">
        <v>798</v>
      </c>
      <c r="J228" s="29" t="s">
        <v>326</v>
      </c>
      <c r="K228" s="23" t="s">
        <v>431</v>
      </c>
    </row>
    <row r="229" ht="17.55" spans="1:11">
      <c r="A229" s="7">
        <v>226</v>
      </c>
      <c r="B229" s="1" t="str">
        <f>RIGHT('[1]Rekap Dapur'!I229,8)</f>
        <v>NMKDKU3L</v>
      </c>
      <c r="C229" s="25" t="s">
        <v>550</v>
      </c>
      <c r="D229" s="26" t="s">
        <v>149</v>
      </c>
      <c r="E229" s="8" t="str">
        <f t="shared" si="3"/>
        <v>PCM Belawan</v>
      </c>
      <c r="F229" s="31" t="s">
        <v>551</v>
      </c>
      <c r="G229" s="32">
        <v>81260808165</v>
      </c>
      <c r="H229" s="31" t="s">
        <v>543</v>
      </c>
      <c r="I229" s="31" t="s">
        <v>548</v>
      </c>
      <c r="J229" s="31" t="s">
        <v>553</v>
      </c>
      <c r="K229" s="23" t="s">
        <v>358</v>
      </c>
    </row>
  </sheetData>
  <conditionalFormatting sqref="E$1:E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Rekap Dapur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A416JA</dc:creator>
  <cp:lastModifiedBy>yaufani adam</cp:lastModifiedBy>
  <dcterms:created xsi:type="dcterms:W3CDTF">2026-01-07T17:53:00Z</dcterms:created>
  <dcterms:modified xsi:type="dcterms:W3CDTF">2026-01-10T18:25:01Z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D6459A152D9A7142383062698E6AB105_42</vt:lpwstr>
  </property>
  <property fmtid="{D5CDD505-2E9C-101B-9397-08002B2CF9AE}" pid="3" name="KSOProductBuildVer">
    <vt:lpwstr>1033-12.1.22226.22226</vt:lpwstr>
  </property>
</Properties>
</file>